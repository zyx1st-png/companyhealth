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假设" sheetId="2" state="visible" r:id="rId2"/>
    <sheet xmlns:r="http://schemas.openxmlformats.org/officeDocument/2006/relationships" name="会员单客经济" sheetId="3" state="visible" r:id="rId3"/>
    <sheet xmlns:r="http://schemas.openxmlformats.org/officeDocument/2006/relationships" name="规模情景" sheetId="4" state="visible" r:id="rId4"/>
    <sheet xmlns:r="http://schemas.openxmlformats.org/officeDocument/2006/relationships" name="专项经济" sheetId="5" state="visible" r:id="rId5"/>
    <sheet xmlns:r="http://schemas.openxmlformats.org/officeDocument/2006/relationships" name="双线情景" sheetId="6" state="visible" r:id="rId6"/>
    <sheet xmlns:r="http://schemas.openxmlformats.org/officeDocument/2006/relationships" name="90天预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-0.0%;&quot;-&quot;"/>
    <numFmt numFmtId="166" formatCode="#,##0.0;(#,##0.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4" borderId="1" pivotButton="0" quotePrefix="0" xfId="0"/>
    <xf numFmtId="0" fontId="2" fillId="0" borderId="1" applyAlignment="1" pivotButton="0" quotePrefix="0" xfId="0">
      <alignment vertical="top" wrapText="1"/>
    </xf>
    <xf numFmtId="165" fontId="6" fillId="4" borderId="1" pivotButton="0" quotePrefix="0" xfId="0"/>
    <xf numFmtId="166" fontId="6" fillId="4" borderId="1" pivotButton="0" quotePrefix="0" xfId="0"/>
    <xf numFmtId="0" fontId="6" fillId="4" borderId="1" pivotButton="0" quotePrefix="0" xfId="0"/>
    <xf numFmtId="164" fontId="8" fillId="0" borderId="1" pivotButton="0" quotePrefix="0" xfId="0"/>
    <xf numFmtId="164" fontId="5" fillId="0" borderId="1" pivotButton="0" quotePrefix="0" xfId="0"/>
    <xf numFmtId="166" fontId="8" fillId="0" borderId="1" pivotButton="0" quotePrefix="0" xfId="0"/>
    <xf numFmtId="166" fontId="5" fillId="0" borderId="1" pivotButton="0" quotePrefix="0" xfId="0"/>
    <xf numFmtId="0" fontId="4" fillId="3" borderId="0" pivotButton="0" quotePrefix="0" xfId="0"/>
    <xf numFmtId="165" fontId="5" fillId="0" borderId="1" pivotButton="0" quotePrefix="0" xfId="0"/>
    <xf numFmtId="0" fontId="8" fillId="0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7" fillId="5" borderId="1" pivotButton="0" quotePrefix="0" xfId="0"/>
    <xf numFmtId="164" fontId="7" fillId="5" borderId="1" pivotButton="0" quotePrefix="0" xfId="0"/>
    <xf numFmtId="0" fontId="2" fillId="5" borderId="1" applyAlignment="1" pivotButton="0" quotePrefix="0" xfId="0">
      <alignment vertical="top" wrapText="1"/>
    </xf>
    <xf numFmtId="0" fontId="0" fillId="5" borderId="1" pivotButton="0" quotePrefix="0" xfId="0"/>
    <xf numFmtId="164" fontId="7" fillId="0" borderId="1" pivotButton="0" quotePrefix="0" xfId="0"/>
    <xf numFmtId="16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H02｜单客户经济模型与90天预算 V1.0</t>
        </is>
      </c>
    </row>
    <row r="2">
      <c r="A2" s="2" t="inlineStr">
        <is>
          <t>版本日期：2026-10-12 · 依据：C02 V1.1、F01、F02、MVP 第九章、B01、B08、BP V0.4</t>
        </is>
      </c>
    </row>
    <row r="4" ht="30" customHeight="1">
      <c r="A4" s="3" t="inlineStr">
        <is>
          <t>用途</t>
        </is>
      </c>
      <c r="B4" s="4" t="inlineStr">
        <is>
          <t>把散落在 C02/F01/F02/BP/MVP/B08 中的价格、成本、工时口径集中成一个可调参数的模型：会员单客经济、规模情景、专项单项目经济、90天双线情景和90天预算。</t>
        </is>
      </c>
    </row>
    <row r="5" ht="30" customHeight="1">
      <c r="A5" s="3" t="inlineStr">
        <is>
          <t>颜色</t>
        </is>
      </c>
      <c r="B5" s="4" t="inlineStr">
        <is>
          <t>蓝字浅黄底 = 可改输入；黑字 = 公式；绿字 = 引用其他工作表。所有参数集中在“假设”和“90天预算”两张表。</t>
        </is>
      </c>
    </row>
    <row r="6" ht="30" customHeight="1">
      <c r="A6" s="3" t="inlineStr">
        <is>
          <t>口径</t>
        </is>
      </c>
      <c r="B6" s="4" t="inlineStr">
        <is>
          <t>现金口径（C02 V1.1）：创始人暂不领工资，工时不计现金成本，单独作为产能约束（客户服务预算65小时/月）。所有“结余”都不是净利润：未计税费、客户流失与退款、获客费用、创始人薪酬。</t>
        </is>
      </c>
    </row>
    <row r="7" ht="45" customHeight="1">
      <c r="A7" s="3" t="inlineStr">
        <is>
          <t>D03-A 重建</t>
        </is>
      </c>
      <c r="B7" s="4" t="inlineStr">
        <is>
          <t>原《D03-A V1.2》缺失。1298元/月总额有文档出处；分项金额是本次按 C02 2.1 的支出类别和 MVP 第九章区间重建的估计，请按实际账单修正。若改后合计不等于1298，“90天预算”会提示需同步修订 C02/F02/BP。</t>
        </is>
      </c>
    </row>
    <row r="8" ht="45" customHeight="1">
      <c r="A8" s="3" t="inlineStr">
        <is>
          <t>自校验</t>
        </is>
      </c>
      <c r="B8" s="4" t="inlineStr">
        <is>
          <t>“会员单客经济”第10行应为 7/4/2；“规模情景”MRR 应为 8980/13470/22450，结余应为 7462/11242/19102，各情景工时应与 C02 第十二章一致。数字对不上说明假设已被修改。</t>
        </is>
      </c>
    </row>
    <row r="9" ht="30" customHeight="1">
      <c r="A9" s="3" t="inlineStr">
        <is>
          <t>占位假设</t>
        </is>
      </c>
      <c r="B9" s="4" t="inlineStr">
        <is>
          <t>P02–P04 工时与外包占比、会员专项简析工时、法务审核费用、体验转化率、付费月数均无文档出处，为占位值，首批真实数据出来后用 D05 工具包的记录替换。</t>
        </is>
      </c>
    </row>
    <row r="10" ht="30" customHeight="1">
      <c r="A10" s="3" t="inlineStr">
        <is>
          <t>配套</t>
        </is>
      </c>
      <c r="B10" s="4" t="inlineStr">
        <is>
          <t>D05 试点运营工具包记录真实数据；本模型做事前测算。90天后用真实值回填“假设”，对照 BP V0.4 17.7 做主线裁决。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52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1" t="inlineStr">
        <is>
          <t>关键假设（所有可调参数都在本表）</t>
        </is>
      </c>
    </row>
    <row r="2">
      <c r="A2" s="2" t="inlineStr">
        <is>
          <t>蓝字浅黄底为输入；修改后其他各表自动更新。“来源”列注明出处，没有出处的标“占位假设”。</t>
        </is>
      </c>
    </row>
    <row r="4" ht="30" customHeight="1">
      <c r="A4" s="5" t="inlineStr">
        <is>
          <t>会员参数</t>
        </is>
      </c>
      <c r="B4" s="5" t="inlineStr">
        <is>
          <t>基础版</t>
        </is>
      </c>
      <c r="C4" s="5" t="inlineStr">
        <is>
          <t>标准版</t>
        </is>
      </c>
      <c r="D4" s="5" t="inlineStr">
        <is>
          <t>顾问版</t>
        </is>
      </c>
      <c r="E4" s="5" t="inlineStr">
        <is>
          <t>来源</t>
        </is>
      </c>
    </row>
    <row r="5">
      <c r="A5" s="6" t="inlineStr">
        <is>
          <t>月费(元)</t>
        </is>
      </c>
      <c r="B5" s="7" t="n">
        <v>199</v>
      </c>
      <c r="C5" s="7" t="n">
        <v>399</v>
      </c>
      <c r="D5" s="7" t="n">
        <v>1299</v>
      </c>
      <c r="E5" s="8" t="inlineStr">
        <is>
          <t>B01 V1.0 / BP V0.4</t>
        </is>
      </c>
    </row>
    <row r="6">
      <c r="A6" s="6" t="inlineStr">
        <is>
          <t>假设增量现金成本(元/家/月)</t>
        </is>
      </c>
      <c r="B6" s="7" t="n">
        <v>5</v>
      </c>
      <c r="C6" s="7" t="n">
        <v>10</v>
      </c>
      <c r="D6" s="7" t="n">
        <v>30</v>
      </c>
      <c r="E6" s="8" t="inlineStr">
        <is>
          <t>C02 V1.1 6.2（情景假设，非真实账单）</t>
        </is>
      </c>
    </row>
    <row r="7">
      <c r="A7" s="6" t="inlineStr">
        <is>
          <t>规模情景客户结构</t>
        </is>
      </c>
      <c r="B7" s="9" t="n">
        <v>0.2</v>
      </c>
      <c r="C7" s="9" t="n">
        <v>0.7</v>
      </c>
      <c r="D7" s="9" t="n">
        <v>0.1</v>
      </c>
      <c r="E7" s="8" t="inlineStr">
        <is>
          <t>C02 V1.1 第九章（未验证）</t>
        </is>
      </c>
    </row>
    <row r="8">
      <c r="A8" s="6" t="inlineStr">
        <is>
          <t>乐观</t>
        </is>
      </c>
      <c r="B8" s="10" t="n">
        <v>0.3</v>
      </c>
      <c r="C8" s="10" t="n">
        <v>0.8</v>
      </c>
      <c r="D8" s="10" t="n">
        <v>3</v>
      </c>
      <c r="E8" s="8" t="inlineStr">
        <is>
          <t>C02 V1.1 第十一章：稳定期每月人工小时（高度自动化）</t>
        </is>
      </c>
    </row>
    <row r="9">
      <c r="A9" s="6" t="inlineStr">
        <is>
          <t>基准</t>
        </is>
      </c>
      <c r="B9" s="10" t="n">
        <v>0.6</v>
      </c>
      <c r="C9" s="10" t="n">
        <v>1.5</v>
      </c>
      <c r="D9" s="10" t="n">
        <v>5</v>
      </c>
      <c r="E9" s="8" t="inlineStr">
        <is>
          <t>C02 V1.1 第十一章：稳定期每月人工小时（部分人工）</t>
        </is>
      </c>
    </row>
    <row r="10">
      <c r="A10" s="6" t="inlineStr">
        <is>
          <t>压力</t>
        </is>
      </c>
      <c r="B10" s="10" t="n">
        <v>1</v>
      </c>
      <c r="C10" s="10" t="n">
        <v>3</v>
      </c>
      <c r="D10" s="10" t="n">
        <v>8</v>
      </c>
      <c r="E10" s="8" t="inlineStr">
        <is>
          <t>C02 V1.1 第十一章：稳定期每月人工小时（人工需求偏高）</t>
        </is>
      </c>
    </row>
    <row r="11">
      <c r="A11" s="2" t="inlineStr">
        <is>
          <t>注：第8–10行为稳定期会员每月人工小时，不含首次建档与获客。</t>
        </is>
      </c>
    </row>
    <row r="13" ht="30" customHeight="1">
      <c r="A13" s="5" t="inlineStr">
        <is>
          <t>通用参数</t>
        </is>
      </c>
      <c r="B13" s="5" t="inlineStr">
        <is>
          <t>数值</t>
        </is>
      </c>
      <c r="C13" s="5" t="inlineStr"/>
      <c r="D13" s="5" t="inlineStr"/>
      <c r="E13" s="5" t="inlineStr">
        <is>
          <t>来源</t>
        </is>
      </c>
    </row>
    <row r="14">
      <c r="A14" s="6" t="inlineStr">
        <is>
          <t>当前效率情景</t>
        </is>
      </c>
      <c r="B14" s="11" t="inlineStr">
        <is>
          <t>基准</t>
        </is>
      </c>
      <c r="E14" s="8" t="inlineStr">
        <is>
          <t>下拉：乐观/基准/压力；影响所有工时测算</t>
        </is>
      </c>
    </row>
    <row r="15">
      <c r="A15" s="6" t="inlineStr">
        <is>
          <t>99元体验服务费(元/家)</t>
        </is>
      </c>
      <c r="B15" s="7" t="n">
        <v>99</v>
      </c>
      <c r="E15" s="8" t="inlineStr">
        <is>
          <t>D02 第八节</t>
        </is>
      </c>
    </row>
    <row r="16">
      <c r="A16" s="6" t="inlineStr">
        <is>
          <t>体验每家人工-低(小时/30天)</t>
        </is>
      </c>
      <c r="B16" s="10" t="n">
        <v>5.5</v>
      </c>
      <c r="E16" s="8" t="inlineStr">
        <is>
          <t>D01 7.2</t>
        </is>
      </c>
    </row>
    <row r="17">
      <c r="A17" s="6" t="inlineStr">
        <is>
          <t>体验每家人工-高(小时/30天)</t>
        </is>
      </c>
      <c r="B17" s="10" t="n">
        <v>12.5</v>
      </c>
      <c r="E17" s="8" t="inlineStr">
        <is>
          <t>D01 7.2</t>
        </is>
      </c>
    </row>
    <row r="18">
      <c r="A18" s="6" t="inlineStr">
        <is>
          <t>正式会员首次建档额外工时(小时/家)</t>
        </is>
      </c>
      <c r="B18" s="10" t="n">
        <v>3</v>
      </c>
      <c r="E18" s="8" t="inlineStr">
        <is>
          <t>C02 V1.1 第十三章示例</t>
        </is>
      </c>
    </row>
    <row r="19">
      <c r="A19" s="6" t="inlineStr">
        <is>
          <t>共享批量服务工时(小时/月)</t>
        </is>
      </c>
      <c r="B19" s="10" t="n">
        <v>12</v>
      </c>
      <c r="E19" s="8" t="inlineStr">
        <is>
          <t>C02 V1.1 第十一章</t>
        </is>
      </c>
    </row>
    <row r="20">
      <c r="A20" s="6" t="inlineStr">
        <is>
          <t>创始人月工作容量(小时)</t>
        </is>
      </c>
      <c r="B20" s="10" t="n">
        <v>132</v>
      </c>
      <c r="E20" s="8" t="inlineStr">
        <is>
          <t>C02 V1.1 第十二章：6小时×22天</t>
        </is>
      </c>
    </row>
    <row r="21">
      <c r="A21" s="6" t="inlineStr">
        <is>
          <t>客户服务预算(小时/月)</t>
        </is>
      </c>
      <c r="B21" s="10" t="n">
        <v>65</v>
      </c>
      <c r="E21" s="8" t="inlineStr">
        <is>
          <t>C02 V1.1 第十二章</t>
        </is>
      </c>
    </row>
    <row r="22">
      <c r="A22" s="6" t="inlineStr">
        <is>
          <t>常规排期参考线(小时/月)</t>
        </is>
      </c>
      <c r="B22" s="10" t="n">
        <v>52</v>
      </c>
      <c r="E22" s="8" t="inlineStr">
        <is>
          <t>BP 附录A / F02</t>
        </is>
      </c>
    </row>
    <row r="23">
      <c r="A23" s="6" t="inlineStr">
        <is>
          <t>固定现金预算(元/月)</t>
        </is>
      </c>
      <c r="B23" s="12">
        <f>'90天预算'!B15</f>
        <v/>
      </c>
      <c r="E23" s="8" t="inlineStr">
        <is>
          <t>链接“90天预算”小计</t>
        </is>
      </c>
    </row>
    <row r="24">
      <c r="A24" s="6" t="inlineStr">
        <is>
          <t>基础版年费(元/年)</t>
        </is>
      </c>
      <c r="B24" s="7" t="n">
        <v>1980</v>
      </c>
      <c r="E24" s="8" t="inlineStr">
        <is>
          <t>B01 7.1</t>
        </is>
      </c>
    </row>
    <row r="27" ht="30" customHeight="1">
      <c r="A27" s="5" t="inlineStr">
        <is>
          <t>规模扩容费用</t>
        </is>
      </c>
      <c r="B27" s="5" t="inlineStr">
        <is>
          <t>客户规模(家)</t>
        </is>
      </c>
      <c r="C27" s="5" t="inlineStr">
        <is>
          <t>扩容费用(元/月)</t>
        </is>
      </c>
      <c r="D27" s="5" t="inlineStr"/>
      <c r="E27" s="5" t="inlineStr">
        <is>
          <t>来源</t>
        </is>
      </c>
    </row>
    <row r="28">
      <c r="A28" s="6" t="inlineStr">
        <is>
          <t>情景A</t>
        </is>
      </c>
      <c r="B28" s="7" t="n">
        <v>20</v>
      </c>
      <c r="C28" s="7" t="n">
        <v>0</v>
      </c>
      <c r="E28" s="8" t="inlineStr">
        <is>
          <t>C02 V1.1 6.3（压力测算，非真实报价）</t>
        </is>
      </c>
    </row>
    <row r="29">
      <c r="A29" s="6" t="inlineStr">
        <is>
          <t>情景B</t>
        </is>
      </c>
      <c r="B29" s="7" t="n">
        <v>30</v>
      </c>
      <c r="C29" s="7" t="n">
        <v>600</v>
      </c>
      <c r="E29" s="8" t="inlineStr">
        <is>
          <t>C02 V1.1 6.3（压力测算，非真实报价）</t>
        </is>
      </c>
    </row>
    <row r="30">
      <c r="A30" s="6" t="inlineStr">
        <is>
          <t>情景C</t>
        </is>
      </c>
      <c r="B30" s="7" t="n">
        <v>50</v>
      </c>
      <c r="C30" s="7" t="n">
        <v>1500</v>
      </c>
      <c r="E30" s="8" t="inlineStr">
        <is>
          <t>C02 V1.1 6.3（压力测算，非真实报价）</t>
        </is>
      </c>
    </row>
    <row r="32" ht="30" customHeight="1">
      <c r="A32" s="5" t="inlineStr">
        <is>
          <t>高级专项（B08）</t>
        </is>
      </c>
      <c r="B32" s="5" t="inlineStr">
        <is>
          <t>报价下限(元)</t>
        </is>
      </c>
      <c r="C32" s="5" t="inlineStr">
        <is>
          <t>报价上限(元)</t>
        </is>
      </c>
      <c r="D32" s="5" t="inlineStr">
        <is>
          <t>测算报价(元)</t>
        </is>
      </c>
      <c r="E32" s="5" t="inlineStr">
        <is>
          <t>预计人工(小时)</t>
        </is>
      </c>
      <c r="F32" s="5" t="inlineStr">
        <is>
          <t>外包/合作成本占比</t>
        </is>
      </c>
      <c r="G32" s="5" t="inlineStr">
        <is>
          <t>差旅等直接费用(元)</t>
        </is>
      </c>
      <c r="H32" s="5" t="inlineStr">
        <is>
          <t>90天成交数(情景)</t>
        </is>
      </c>
      <c r="I32" s="5" t="inlineStr">
        <is>
          <t>来源与说明</t>
        </is>
      </c>
    </row>
    <row r="33">
      <c r="A33" s="6" t="inlineStr">
        <is>
          <t>P01 单一经营问题专项诊断</t>
        </is>
      </c>
      <c r="B33" s="7" t="n">
        <v>3800</v>
      </c>
      <c r="C33" s="7" t="n">
        <v>8800</v>
      </c>
      <c r="D33" s="13">
        <f>AVERAGE(B33:C33)</f>
        <v/>
      </c>
      <c r="E33" s="10" t="n">
        <v>26.5</v>
      </c>
      <c r="F33" s="9" t="n">
        <v>0</v>
      </c>
      <c r="G33" s="7" t="n">
        <v>200</v>
      </c>
      <c r="H33" s="7" t="n">
        <v>1</v>
      </c>
      <c r="I33" s="8" t="inlineStr">
        <is>
          <t>B08：报价、工时18–35小时（取中值）</t>
        </is>
      </c>
    </row>
    <row r="34">
      <c r="A34" s="6" t="inlineStr">
        <is>
          <t>P02 经营改善行动专项</t>
        </is>
      </c>
      <c r="B34" s="7" t="n">
        <v>9800</v>
      </c>
      <c r="C34" s="7" t="n">
        <v>29800</v>
      </c>
      <c r="D34" s="13">
        <f>AVERAGE(B34:C34)</f>
        <v/>
      </c>
      <c r="E34" s="10" t="n">
        <v>60</v>
      </c>
      <c r="F34" s="9" t="n">
        <v>0.15</v>
      </c>
      <c r="G34" s="7" t="n">
        <v>300</v>
      </c>
      <c r="H34" s="7" t="n">
        <v>0</v>
      </c>
      <c r="I34" s="8" t="inlineStr">
        <is>
          <t>B08 报价；工时与外包占比为占位假设</t>
        </is>
      </c>
    </row>
    <row r="35">
      <c r="A35" s="6" t="inlineStr">
        <is>
          <t>P03 新项目/扩张与复制决策</t>
        </is>
      </c>
      <c r="B35" s="7" t="n">
        <v>12800</v>
      </c>
      <c r="C35" s="7" t="n">
        <v>39800</v>
      </c>
      <c r="D35" s="13">
        <f>AVERAGE(B35:C35)</f>
        <v/>
      </c>
      <c r="E35" s="10" t="n">
        <v>45</v>
      </c>
      <c r="F35" s="9" t="n">
        <v>0.1</v>
      </c>
      <c r="G35" s="7" t="n">
        <v>300</v>
      </c>
      <c r="H35" s="7" t="n">
        <v>0</v>
      </c>
      <c r="I35" s="8" t="inlineStr">
        <is>
          <t>B08 报价；工时与外包占比为占位假设</t>
        </is>
      </c>
    </row>
    <row r="36">
      <c r="A36" s="6" t="inlineStr">
        <is>
          <t>P04 AI与数字化经营改善</t>
        </is>
      </c>
      <c r="B36" s="7" t="n">
        <v>8800</v>
      </c>
      <c r="C36" s="7" t="n">
        <v>39800</v>
      </c>
      <c r="D36" s="13">
        <f>AVERAGE(B36:C36)</f>
        <v/>
      </c>
      <c r="E36" s="10" t="n">
        <v>50</v>
      </c>
      <c r="F36" s="9" t="n">
        <v>0.1</v>
      </c>
      <c r="G36" s="7" t="n">
        <v>200</v>
      </c>
      <c r="H36" s="7" t="n">
        <v>1</v>
      </c>
      <c r="I36" s="8" t="inlineStr">
        <is>
          <t>B08 报价；工时与外包占比为占位假设</t>
        </is>
      </c>
    </row>
    <row r="37">
      <c r="A37" s="6" t="inlineStr">
        <is>
          <t>P05 外部经营顾问与陪跑（每月）</t>
        </is>
      </c>
      <c r="B37" s="7" t="n">
        <v>3000</v>
      </c>
      <c r="C37" s="7" t="n">
        <v>8000</v>
      </c>
      <c r="D37" s="13">
        <f>AVERAGE(B37:C37)</f>
        <v/>
      </c>
      <c r="E37" s="10" t="n">
        <v>8</v>
      </c>
      <c r="F37" s="9" t="n">
        <v>0</v>
      </c>
      <c r="G37" s="7" t="n">
        <v>100</v>
      </c>
      <c r="H37" s="7" t="n">
        <v>0</v>
      </c>
      <c r="I37" s="8" t="inlineStr">
        <is>
          <t>B08：4–12小时/月取中值；按月计</t>
        </is>
      </c>
    </row>
    <row r="38">
      <c r="A38" s="6" t="inlineStr">
        <is>
          <t>会员专项简析</t>
        </is>
      </c>
      <c r="B38" s="7" t="n">
        <v>2000</v>
      </c>
      <c r="C38" s="7" t="n">
        <v>5000</v>
      </c>
      <c r="D38" s="13">
        <f>AVERAGE(B38:C38)</f>
        <v/>
      </c>
      <c r="E38" s="10" t="n">
        <v>10</v>
      </c>
      <c r="F38" s="9" t="n">
        <v>0</v>
      </c>
      <c r="G38" s="7" t="n">
        <v>0</v>
      </c>
      <c r="H38" s="7" t="n">
        <v>0</v>
      </c>
      <c r="I38" s="8" t="inlineStr">
        <is>
          <t>B01/B02 8.1；工时为占位假设</t>
        </is>
      </c>
    </row>
    <row r="39">
      <c r="A39" s="2" t="inlineStr">
        <is>
          <t>“测算报价”默认取区间中值；可直接改为单一报价（覆盖公式）。报价均为内部测试区间，尚无真实成交。</t>
        </is>
      </c>
    </row>
    <row r="42" ht="30" customHeight="1">
      <c r="A42" s="5" t="inlineStr">
        <is>
          <t>90天会员线情景</t>
        </is>
      </c>
      <c r="B42" s="5" t="inlineStr">
        <is>
          <t>数值</t>
        </is>
      </c>
      <c r="C42" s="5" t="inlineStr"/>
      <c r="D42" s="5" t="inlineStr"/>
      <c r="E42" s="5" t="inlineStr">
        <is>
          <t>来源</t>
        </is>
      </c>
    </row>
    <row r="43">
      <c r="A43" s="6" t="inlineStr">
        <is>
          <t>90天体验企业数(家)</t>
        </is>
      </c>
      <c r="B43" s="7" t="n">
        <v>8</v>
      </c>
      <c r="E43" s="8" t="inlineStr">
        <is>
          <t>D01/F01：5–10家，分批2–3家</t>
        </is>
      </c>
    </row>
    <row r="44">
      <c r="A44" s="6" t="inlineStr">
        <is>
          <t>体验→正式会员转化率</t>
        </is>
      </c>
      <c r="B44" s="9" t="n">
        <v>0.4</v>
      </c>
      <c r="E44" s="8" t="inlineStr">
        <is>
          <t>占位假设；F01 目标“至少3家”</t>
        </is>
      </c>
    </row>
    <row r="45">
      <c r="A45" s="6" t="inlineStr">
        <is>
          <t>转正后在90天内平均付费月数</t>
        </is>
      </c>
      <c r="B45" s="10" t="n">
        <v>1.5</v>
      </c>
      <c r="E45" s="8" t="inlineStr">
        <is>
          <t>占位假设：分批启动，后批转正较晚</t>
        </is>
      </c>
    </row>
    <row r="47">
      <c r="A47" s="2" t="inlineStr">
        <is>
          <t>转正客户的档位结构沿用第7行“规模情景客户结构”。</t>
        </is>
      </c>
    </row>
  </sheetData>
  <dataValidations count="1">
    <dataValidation sqref="B14" showDropDown="0" showInputMessage="0" showErrorMessage="0" allowBlank="0" type="list">
      <formula1>"乐观,基准,压力"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52" customWidth="1" min="5" max="5"/>
  </cols>
  <sheetData>
    <row r="1">
      <c r="A1" s="1" t="inlineStr">
        <is>
          <t>会员单客户经济模型</t>
        </is>
      </c>
    </row>
    <row r="2">
      <c r="A2" s="2" t="inlineStr">
        <is>
          <t>现金口径（C02 V1.1）：创始人工时不计现金成本，单独作为产能约束。当前效率情景见“假设”B14。</t>
        </is>
      </c>
    </row>
    <row r="4" ht="30" customHeight="1">
      <c r="A4" s="5" t="inlineStr">
        <is>
          <t>指标</t>
        </is>
      </c>
      <c r="B4" s="5" t="inlineStr">
        <is>
          <t>基础版</t>
        </is>
      </c>
      <c r="C4" s="5" t="inlineStr">
        <is>
          <t>标准版</t>
        </is>
      </c>
      <c r="D4" s="5" t="inlineStr">
        <is>
          <t>顾问版</t>
        </is>
      </c>
      <c r="E4" s="5" t="inlineStr">
        <is>
          <t>说明</t>
        </is>
      </c>
    </row>
    <row r="5">
      <c r="A5" s="6" t="inlineStr">
        <is>
          <t>月费(元)</t>
        </is>
      </c>
      <c r="B5" s="12">
        <f>假设!B5</f>
        <v/>
      </c>
      <c r="C5" s="12">
        <f>假设!C5</f>
        <v/>
      </c>
      <c r="D5" s="12">
        <f>假设!D5</f>
        <v/>
      </c>
      <c r="E5" s="8" t="inlineStr"/>
    </row>
    <row r="6">
      <c r="A6" s="6" t="inlineStr">
        <is>
          <t>增量现金成本(元/月)</t>
        </is>
      </c>
      <c r="B6" s="12">
        <f>假设!B6</f>
        <v/>
      </c>
      <c r="C6" s="12">
        <f>假设!C6</f>
        <v/>
      </c>
      <c r="D6" s="12">
        <f>假设!D6</f>
        <v/>
      </c>
      <c r="E6" s="8" t="inlineStr">
        <is>
          <t>已含在固定订阅内的用量不重复计</t>
        </is>
      </c>
    </row>
    <row r="7">
      <c r="A7" s="6" t="inlineStr">
        <is>
          <t>单位现金贡献(元/月)</t>
        </is>
      </c>
      <c r="B7" s="13">
        <f>B5-B6</f>
        <v/>
      </c>
      <c r="C7" s="13">
        <f>C5-C6</f>
        <v/>
      </c>
      <c r="D7" s="13">
        <f>D5-D6</f>
        <v/>
      </c>
      <c r="E7" s="8" t="inlineStr">
        <is>
          <t>未扣固定预算、税费、获客与创始人薪酬；不是净利润</t>
        </is>
      </c>
    </row>
    <row r="8">
      <c r="A8" s="6" t="inlineStr">
        <is>
          <t>稳定期月人工(小时，当前情景)</t>
        </is>
      </c>
      <c r="B8" s="14">
        <f>INDEX(假设!B$8:B$10,MATCH(假设!$B$14,假设!$A$8:$A$10,0))</f>
        <v/>
      </c>
      <c r="C8" s="14">
        <f>INDEX(假设!C$8:C$10,MATCH(假设!$B$14,假设!$A$8:$A$10,0))</f>
        <v/>
      </c>
      <c r="D8" s="14">
        <f>INDEX(假设!D$8:D$10,MATCH(假设!$B$14,假设!$A$8:$A$10,0))</f>
        <v/>
      </c>
      <c r="E8" s="8" t="inlineStr">
        <is>
          <t>C02 第十一章</t>
        </is>
      </c>
    </row>
    <row r="9">
      <c r="A9" s="6" t="inlineStr">
        <is>
          <t>每人工小时现金贡献(元/时)</t>
        </is>
      </c>
      <c r="B9" s="13">
        <f>IF(B8=0,"",B7/B8)</f>
        <v/>
      </c>
      <c r="C9" s="13">
        <f>IF(C8=0,"",C7/C8)</f>
        <v/>
      </c>
      <c r="D9" s="13">
        <f>IF(D8=0,"",D7/D8)</f>
        <v/>
      </c>
      <c r="E9" s="8" t="inlineStr">
        <is>
          <t>与专项线比较的核心指标</t>
        </is>
      </c>
    </row>
    <row r="10">
      <c r="A10" s="6" t="inlineStr">
        <is>
          <t>覆盖固定预算所需客户数(仅此档)</t>
        </is>
      </c>
      <c r="B10" s="13">
        <f>IF(B7&lt;=0,"",ROUNDUP(假设!$B$23/B7,0))</f>
        <v/>
      </c>
      <c r="C10" s="13">
        <f>IF(C7&lt;=0,"",ROUNDUP(假设!$B$23/C7,0))</f>
        <v/>
      </c>
      <c r="D10" s="13">
        <f>IF(D7&lt;=0,"",ROUNDUP(假设!$B$23/D7,0))</f>
        <v/>
      </c>
      <c r="E10" s="8" t="inlineStr">
        <is>
          <t>C02 第八章校验：应为 7 / 4 / 2</t>
        </is>
      </c>
    </row>
    <row r="11">
      <c r="A11" s="6" t="inlineStr">
        <is>
          <t>扣除共享工时后65小时可容纳客户数(仅此档)</t>
        </is>
      </c>
      <c r="B11" s="13">
        <f>IF(B8=0,"",ROUNDDOWN((假设!$B$21-假设!$B$19)/B8,0))</f>
        <v/>
      </c>
      <c r="C11" s="13">
        <f>IF(C8=0,"",ROUNDDOWN((假设!$B$21-假设!$B$19)/C8,0))</f>
        <v/>
      </c>
      <c r="D11" s="13">
        <f>IF(D8=0,"",ROUNDDOWN((假设!$B$21-假设!$B$19)/D8,0))</f>
        <v/>
      </c>
      <c r="E11" s="8" t="inlineStr">
        <is>
          <t>未计新客建档与高峰响应，偏乐观</t>
        </is>
      </c>
    </row>
    <row r="12">
      <c r="A12" s="6" t="inlineStr">
        <is>
          <t>12个月现金贡献(元)</t>
        </is>
      </c>
      <c r="B12" s="13">
        <f>B7*12</f>
        <v/>
      </c>
      <c r="C12" s="13">
        <f>C7*12</f>
        <v/>
      </c>
      <c r="D12" s="13">
        <f>D7*12</f>
        <v/>
      </c>
      <c r="E12" s="8" t="inlineStr">
        <is>
          <t>假设全年续费</t>
        </is>
      </c>
    </row>
    <row r="13">
      <c r="A13" s="6" t="inlineStr">
        <is>
          <t>首年人工(小时，含首次建档)</t>
        </is>
      </c>
      <c r="B13" s="15">
        <f>B8*12+假设!$B$18</f>
        <v/>
      </c>
      <c r="C13" s="15">
        <f>C8*12+假设!$B$18</f>
        <v/>
      </c>
      <c r="D13" s="15">
        <f>D8*12+假设!$B$18</f>
        <v/>
      </c>
      <c r="E13" s="8" t="inlineStr"/>
    </row>
    <row r="14">
      <c r="A14" s="6" t="inlineStr">
        <is>
          <t>首年每人工小时现金贡献(元/时)</t>
        </is>
      </c>
      <c r="B14" s="13">
        <f>IF(B13=0,"",B12/B13)</f>
        <v/>
      </c>
      <c r="C14" s="13">
        <f>IF(C13=0,"",C12/C13)</f>
        <v/>
      </c>
      <c r="D14" s="13">
        <f>IF(D13=0,"",D12/D13)</f>
        <v/>
      </c>
      <c r="E14" s="8" t="inlineStr"/>
    </row>
    <row r="17">
      <c r="A17" s="16" t="inlineStr">
        <is>
          <t>每人工小时现金贡献：三种效率情景对比（元/时）</t>
        </is>
      </c>
    </row>
    <row r="18" ht="30" customHeight="1">
      <c r="A18" s="5" t="inlineStr">
        <is>
          <t>情景</t>
        </is>
      </c>
      <c r="B18" s="5" t="inlineStr">
        <is>
          <t>基础版</t>
        </is>
      </c>
      <c r="C18" s="5" t="inlineStr">
        <is>
          <t>标准版</t>
        </is>
      </c>
      <c r="D18" s="5" t="inlineStr">
        <is>
          <t>顾问版</t>
        </is>
      </c>
      <c r="E18" s="5" t="inlineStr"/>
    </row>
    <row r="19">
      <c r="A19" s="6" t="inlineStr">
        <is>
          <t>乐观</t>
        </is>
      </c>
      <c r="B19" s="13">
        <f>IF(假设!B8=0,"",B$7/假设!B8)</f>
        <v/>
      </c>
      <c r="C19" s="13">
        <f>IF(假设!C8=0,"",C$7/假设!C8)</f>
        <v/>
      </c>
      <c r="D19" s="13">
        <f>IF(假设!D8=0,"",D$7/假设!D8)</f>
        <v/>
      </c>
    </row>
    <row r="20">
      <c r="A20" s="6" t="inlineStr">
        <is>
          <t>基准</t>
        </is>
      </c>
      <c r="B20" s="13">
        <f>IF(假设!B9=0,"",B$7/假设!B9)</f>
        <v/>
      </c>
      <c r="C20" s="13">
        <f>IF(假设!C9=0,"",C$7/假设!C9)</f>
        <v/>
      </c>
      <c r="D20" s="13">
        <f>IF(假设!D9=0,"",D$7/假设!D9)</f>
        <v/>
      </c>
    </row>
    <row r="21">
      <c r="A21" s="6" t="inlineStr">
        <is>
          <t>压力</t>
        </is>
      </c>
      <c r="B21" s="13">
        <f>IF(假设!B10=0,"",B$7/假设!B10)</f>
        <v/>
      </c>
      <c r="C21" s="13">
        <f>IF(假设!C10=0,"",C$7/假设!C10)</f>
        <v/>
      </c>
      <c r="D21" s="13">
        <f>IF(假设!D10=0,"",D$7/假设!D10)</f>
        <v/>
      </c>
    </row>
    <row r="23">
      <c r="A23" s="16" t="inlineStr">
        <is>
          <t>99元30天体验（会员线入口）</t>
        </is>
      </c>
    </row>
    <row r="24" ht="30" customHeight="1">
      <c r="A24" s="5" t="inlineStr">
        <is>
          <t>指标</t>
        </is>
      </c>
      <c r="B24" s="5" t="inlineStr">
        <is>
          <t>低工时</t>
        </is>
      </c>
      <c r="C24" s="5" t="inlineStr">
        <is>
          <t>高工时</t>
        </is>
      </c>
      <c r="D24" s="5" t="inlineStr"/>
      <c r="E24" s="5" t="inlineStr">
        <is>
          <t>说明</t>
        </is>
      </c>
    </row>
    <row r="25">
      <c r="A25" s="6" t="inlineStr">
        <is>
          <t>体验收入(元/家)</t>
        </is>
      </c>
      <c r="B25" s="12">
        <f>假设!$B$15</f>
        <v/>
      </c>
      <c r="C25" s="12">
        <f>假设!$B$15</f>
        <v/>
      </c>
      <c r="E25" s="8" t="inlineStr">
        <is>
          <t>转正时全额抵扣首月会员费，不重复计收入</t>
        </is>
      </c>
    </row>
    <row r="26">
      <c r="A26" s="6" t="inlineStr">
        <is>
          <t>体验人工(小时/家)</t>
        </is>
      </c>
      <c r="B26" s="14">
        <f>假设!$B$16</f>
        <v/>
      </c>
      <c r="C26" s="14">
        <f>假设!$B$17</f>
        <v/>
      </c>
      <c r="E26" s="8" t="inlineStr">
        <is>
          <t>D01 7.2，不含获客</t>
        </is>
      </c>
    </row>
    <row r="27">
      <c r="A27" s="6" t="inlineStr">
        <is>
          <t>每人工小时现金(元/时)</t>
        </is>
      </c>
      <c r="B27" s="13">
        <f>IF(B26=0,"",B25/B26)</f>
        <v/>
      </c>
      <c r="C27" s="13">
        <f>IF(C26=0,"",C25/C26)</f>
        <v/>
      </c>
      <c r="E27" s="8" t="inlineStr">
        <is>
          <t>体验期主要是获客与建档投入，不以此评价盈亏</t>
        </is>
      </c>
    </row>
    <row r="28">
      <c r="A28" s="6" t="inlineStr">
        <is>
          <t>转正为标准版后，收回体验工时所需月数</t>
        </is>
      </c>
      <c r="B28" s="15">
        <f>IF($C$8=0,"",B26/$C$8)</f>
        <v/>
      </c>
      <c r="C28" s="15">
        <f>IF($C$8=0,"",C26/$C$8)</f>
        <v/>
      </c>
      <c r="E28" s="8" t="inlineStr">
        <is>
          <t>体验工时 ÷ 标准版稳定期月工时：衡量体验期的“工时投资”相当于几个月的服务量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52" customWidth="1" min="5" max="5"/>
  </cols>
  <sheetData>
    <row r="1">
      <c r="A1" s="1" t="inlineStr">
        <is>
          <t>会员规模情景（稳定期）</t>
        </is>
      </c>
    </row>
    <row r="2">
      <c r="A2" s="2" t="inlineStr">
        <is>
          <t>复现并参数化 C02 V1.1 第九、十二章。不是第一年销售预测。</t>
        </is>
      </c>
    </row>
    <row r="4" ht="30" customHeight="1">
      <c r="A4" s="5" t="inlineStr">
        <is>
          <t>指标</t>
        </is>
      </c>
      <c r="B4" s="5" t="inlineStr">
        <is>
          <t>情景A</t>
        </is>
      </c>
      <c r="C4" s="5" t="inlineStr">
        <is>
          <t>情景B</t>
        </is>
      </c>
      <c r="D4" s="5" t="inlineStr">
        <is>
          <t>情景C</t>
        </is>
      </c>
      <c r="E4" s="5" t="inlineStr">
        <is>
          <t>说明</t>
        </is>
      </c>
    </row>
    <row r="5">
      <c r="A5" s="6" t="inlineStr">
        <is>
          <t>会员规模(家)</t>
        </is>
      </c>
      <c r="B5" s="12">
        <f>假设!B28</f>
        <v/>
      </c>
      <c r="C5" s="12">
        <f>假设!B29</f>
        <v/>
      </c>
      <c r="D5" s="12">
        <f>假设!B30</f>
        <v/>
      </c>
      <c r="E5" s="8" t="inlineStr"/>
    </row>
    <row r="6">
      <c r="A6" s="6" t="inlineStr">
        <is>
          <t>基础版(家)</t>
        </is>
      </c>
      <c r="B6" s="13">
        <f>ROUND(B5*假设!$B$7,0)</f>
        <v/>
      </c>
      <c r="C6" s="13">
        <f>ROUND(C5*假设!$B$7,0)</f>
        <v/>
      </c>
      <c r="D6" s="13">
        <f>ROUND(D5*假设!$B$7,0)</f>
        <v/>
      </c>
      <c r="E6" s="8" t="inlineStr">
        <is>
          <t>按“假设”第7行结构</t>
        </is>
      </c>
    </row>
    <row r="7">
      <c r="A7" s="6" t="inlineStr">
        <is>
          <t>标准版(家)</t>
        </is>
      </c>
      <c r="B7" s="13">
        <f>ROUND(B5*假设!$C$7,0)</f>
        <v/>
      </c>
      <c r="C7" s="13">
        <f>ROUND(C5*假设!$C$7,0)</f>
        <v/>
      </c>
      <c r="D7" s="13">
        <f>ROUND(D5*假设!$C$7,0)</f>
        <v/>
      </c>
      <c r="E7" s="8" t="inlineStr"/>
    </row>
    <row r="8">
      <c r="A8" s="6" t="inlineStr">
        <is>
          <t>顾问版(家)</t>
        </is>
      </c>
      <c r="B8" s="13">
        <f>B5-B6-B7</f>
        <v/>
      </c>
      <c r="C8" s="13">
        <f>C5-C6-C7</f>
        <v/>
      </c>
      <c r="D8" s="13">
        <f>D5-D6-D7</f>
        <v/>
      </c>
      <c r="E8" s="8" t="inlineStr">
        <is>
          <t>余数归顾问版，保证合计等于规模</t>
        </is>
      </c>
    </row>
    <row r="9">
      <c r="A9" s="6" t="inlineStr">
        <is>
          <t>会员收入 MRR(元/月)</t>
        </is>
      </c>
      <c r="B9" s="13">
        <f>B6*假设!$B$5+B7*假设!$C$5+B8*假设!$D$5</f>
        <v/>
      </c>
      <c r="C9" s="13">
        <f>C6*假设!$B$5+C7*假设!$C$5+C8*假设!$D$5</f>
        <v/>
      </c>
      <c r="D9" s="13">
        <f>D6*假设!$B$5+D7*假设!$C$5+D8*假设!$D$5</f>
        <v/>
      </c>
      <c r="E9" s="8" t="inlineStr">
        <is>
          <t>C02 校验：8980 / 13470 / 22450</t>
        </is>
      </c>
    </row>
    <row r="10">
      <c r="A10" s="6" t="inlineStr">
        <is>
          <t>增量现金成本(元/月)</t>
        </is>
      </c>
      <c r="B10" s="13">
        <f>B6*假设!$B$6+B7*假设!$C$6+B8*假设!$D$6</f>
        <v/>
      </c>
      <c r="C10" s="13">
        <f>C6*假设!$B$6+C7*假设!$C$6+C8*假设!$D$6</f>
        <v/>
      </c>
      <c r="D10" s="13">
        <f>D6*假设!$B$6+D7*假设!$C$6+D8*假设!$D$6</f>
        <v/>
      </c>
      <c r="E10" s="8" t="inlineStr"/>
    </row>
    <row r="11">
      <c r="A11" s="6" t="inlineStr">
        <is>
          <t>固定现金预算(元/月)</t>
        </is>
      </c>
      <c r="B11" s="12">
        <f>假设!$B$23</f>
        <v/>
      </c>
      <c r="C11" s="12">
        <f>假设!$B$23</f>
        <v/>
      </c>
      <c r="D11" s="12">
        <f>假设!$B$23</f>
        <v/>
      </c>
      <c r="E11" s="8" t="inlineStr"/>
    </row>
    <row r="12">
      <c r="A12" s="6" t="inlineStr">
        <is>
          <t>扩容费用(元/月)</t>
        </is>
      </c>
      <c r="B12" s="12">
        <f>假设!C28</f>
        <v/>
      </c>
      <c r="C12" s="12">
        <f>假设!C29</f>
        <v/>
      </c>
      <c r="D12" s="12">
        <f>假设!C30</f>
        <v/>
      </c>
      <c r="E12" s="8" t="inlineStr"/>
    </row>
    <row r="13">
      <c r="A13" s="6" t="inlineStr">
        <is>
          <t>月经营现金结余(元/月)</t>
        </is>
      </c>
      <c r="B13" s="13">
        <f>B9-B10-B11-B12</f>
        <v/>
      </c>
      <c r="C13" s="13">
        <f>C9-C10-C11-C12</f>
        <v/>
      </c>
      <c r="D13" s="13">
        <f>D9-D10-D11-D12</f>
        <v/>
      </c>
      <c r="E13" s="8" t="inlineStr">
        <is>
          <t>C02 校验：7462 / 11242 / 19102；未计税费、流失、获客、薪酬</t>
        </is>
      </c>
    </row>
    <row r="14">
      <c r="A14" s="6" t="inlineStr">
        <is>
          <t>稳定期服务工时-乐观(小时/月)</t>
        </is>
      </c>
      <c r="B14" s="15">
        <f>B6*假设!$B$8+B7*假设!$C$8+B8*假设!$D$8+假设!$B$19</f>
        <v/>
      </c>
      <c r="C14" s="15">
        <f>C6*假设!$B$8+C7*假设!$C$8+C8*假设!$D$8+假设!$B$19</f>
        <v/>
      </c>
      <c r="D14" s="15">
        <f>D6*假设!$B$8+D7*假设!$C$8+D8*假设!$D$8+假设!$B$19</f>
        <v/>
      </c>
      <c r="E14" s="8" t="inlineStr">
        <is>
          <t>含共享12小时；C02 校验：30.4 / 39.6 / 58</t>
        </is>
      </c>
    </row>
    <row r="15">
      <c r="A15" s="6" t="inlineStr">
        <is>
          <t>稳定期服务工时-基准(小时/月)</t>
        </is>
      </c>
      <c r="B15" s="15">
        <f>B6*假设!$B$9+B7*假设!$C$9+B8*假设!$D$9+假设!$B$19</f>
        <v/>
      </c>
      <c r="C15" s="15">
        <f>C6*假设!$B$9+C7*假设!$C$9+C8*假设!$D$9+假设!$B$19</f>
        <v/>
      </c>
      <c r="D15" s="15">
        <f>D6*假设!$B$9+D7*假设!$C$9+D8*假设!$D$9+假设!$B$19</f>
        <v/>
      </c>
      <c r="E15" s="8" t="inlineStr">
        <is>
          <t>C02 校验：45.4 / 62.1 / 95.5</t>
        </is>
      </c>
    </row>
    <row r="16">
      <c r="A16" s="6" t="inlineStr">
        <is>
          <t>稳定期服务工时-压力(小时/月)</t>
        </is>
      </c>
      <c r="B16" s="15">
        <f>B6*假设!$B$10+B7*假设!$C$10+B8*假设!$D$10+假设!$B$19</f>
        <v/>
      </c>
      <c r="C16" s="15">
        <f>C6*假设!$B$10+C7*假设!$C$10+C8*假设!$D$10+假设!$B$19</f>
        <v/>
      </c>
      <c r="D16" s="15">
        <f>D6*假设!$B$10+D7*假设!$C$10+D8*假设!$D$10+假设!$B$19</f>
        <v/>
      </c>
      <c r="E16" s="8" t="inlineStr">
        <is>
          <t>C02 校验：74 / 105 / 167</t>
        </is>
      </c>
    </row>
    <row r="17">
      <c r="A17" s="6" t="inlineStr">
        <is>
          <t>当前情景工时(小时/月)</t>
        </is>
      </c>
      <c r="B17" s="15">
        <f>INDEX(B14:B16,MATCH(假设!$B$14,假设!$A$8:$A$10,0))</f>
        <v/>
      </c>
      <c r="C17" s="15">
        <f>INDEX(C14:C16,MATCH(假设!$B$14,假设!$A$8:$A$10,0))</f>
        <v/>
      </c>
      <c r="D17" s="15">
        <f>INDEX(D14:D16,MATCH(假设!$B$14,假设!$A$8:$A$10,0))</f>
        <v/>
      </c>
      <c r="E17" s="8" t="inlineStr">
        <is>
          <t>按“假设”B14</t>
        </is>
      </c>
    </row>
    <row r="18">
      <c r="A18" s="6" t="inlineStr">
        <is>
          <t>占客户服务预算(65小时)比例</t>
        </is>
      </c>
      <c r="B18" s="17">
        <f>IF(假设!$B$21=0,"",B17/假设!$B$21)</f>
        <v/>
      </c>
      <c r="C18" s="17">
        <f>IF(假设!$B$21=0,"",C17/假设!$B$21)</f>
        <v/>
      </c>
      <c r="D18" s="17">
        <f>IF(假设!$B$21=0,"",D17/假设!$B$21)</f>
        <v/>
      </c>
      <c r="E18" s="8" t="inlineStr">
        <is>
          <t>&gt;100% 即单人无法承接</t>
        </is>
      </c>
    </row>
    <row r="19">
      <c r="A19" s="6" t="inlineStr">
        <is>
          <t>是否超过常规排期参考线(52小时)</t>
        </is>
      </c>
      <c r="B19" s="6">
        <f>IF(B17&gt;假设!$B$22,"超过","未超过")</f>
        <v/>
      </c>
      <c r="C19" s="6">
        <f>IF(C17&gt;假设!$B$22,"超过","未超过")</f>
        <v/>
      </c>
      <c r="D19" s="6">
        <f>IF(D17&gt;假设!$B$22,"超过","未超过")</f>
        <v/>
      </c>
      <c r="E19" s="8" t="inlineStr">
        <is>
          <t>F02：不宜把排期填满65小时</t>
        </is>
      </c>
    </row>
    <row r="20">
      <c r="A20" s="6" t="inlineStr">
        <is>
          <t>当前情景每人工小时现金结余(元/时)</t>
        </is>
      </c>
      <c r="B20" s="13">
        <f>IF(B17=0,"",B13/B17)</f>
        <v/>
      </c>
      <c r="C20" s="13">
        <f>IF(C17=0,"",C13/C17)</f>
        <v/>
      </c>
      <c r="D20" s="13">
        <f>IF(D17=0,"",D13/D17)</f>
        <v/>
      </c>
      <c r="E20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高级专项单项目经济模型</t>
        </is>
      </c>
    </row>
    <row r="2">
      <c r="A2" s="2" t="inlineStr">
        <is>
          <t>按 B08 测试报价与假设工时。与会员线比较“每人工小时现金贡献”，用于 BP V0.4 17.7 主线裁决。</t>
        </is>
      </c>
    </row>
    <row r="4" ht="30" customHeight="1">
      <c r="A4" s="5" t="inlineStr">
        <is>
          <t>产品</t>
        </is>
      </c>
      <c r="B4" s="5" t="inlineStr">
        <is>
          <t>测算报价(元)</t>
        </is>
      </c>
      <c r="C4" s="5" t="inlineStr">
        <is>
          <t>外包/合作成本(元)</t>
        </is>
      </c>
      <c r="D4" s="5" t="inlineStr">
        <is>
          <t>差旅等直接费用(元)</t>
        </is>
      </c>
      <c r="E4" s="5" t="inlineStr">
        <is>
          <t>项目现金贡献(元)</t>
        </is>
      </c>
      <c r="F4" s="5" t="inlineStr">
        <is>
          <t>预计人工(小时)</t>
        </is>
      </c>
      <c r="G4" s="5" t="inlineStr">
        <is>
          <t>每人工小时现金贡献(元/时)</t>
        </is>
      </c>
      <c r="H4" s="5" t="inlineStr">
        <is>
          <t>相当于标准版几个月贡献</t>
        </is>
      </c>
      <c r="I4" s="5" t="inlineStr">
        <is>
          <t>65小时预算内每月最多可做(项)</t>
        </is>
      </c>
    </row>
    <row r="5">
      <c r="A5" s="18">
        <f>假设!A33</f>
        <v/>
      </c>
      <c r="B5" s="12">
        <f>假设!D33</f>
        <v/>
      </c>
      <c r="C5" s="13">
        <f>B5*假设!F33</f>
        <v/>
      </c>
      <c r="D5" s="12">
        <f>假设!G33</f>
        <v/>
      </c>
      <c r="E5" s="13">
        <f>B5-C5-D5</f>
        <v/>
      </c>
      <c r="F5" s="14">
        <f>假设!E33</f>
        <v/>
      </c>
      <c r="G5" s="13">
        <f>IF(F5=0,"",E5/F5)</f>
        <v/>
      </c>
      <c r="H5" s="15">
        <f>IF('会员单客经济'!$C$7=0,"",E5/'会员单客经济'!$C$7)</f>
        <v/>
      </c>
      <c r="I5" s="15">
        <f>IF(F5=0,"",ROUNDDOWN(假设!$B$21/F5,1))</f>
        <v/>
      </c>
    </row>
    <row r="6">
      <c r="A6" s="18">
        <f>假设!A34</f>
        <v/>
      </c>
      <c r="B6" s="12">
        <f>假设!D34</f>
        <v/>
      </c>
      <c r="C6" s="13">
        <f>B6*假设!F34</f>
        <v/>
      </c>
      <c r="D6" s="12">
        <f>假设!G34</f>
        <v/>
      </c>
      <c r="E6" s="13">
        <f>B6-C6-D6</f>
        <v/>
      </c>
      <c r="F6" s="14">
        <f>假设!E34</f>
        <v/>
      </c>
      <c r="G6" s="13">
        <f>IF(F6=0,"",E6/F6)</f>
        <v/>
      </c>
      <c r="H6" s="15">
        <f>IF('会员单客经济'!$C$7=0,"",E6/'会员单客经济'!$C$7)</f>
        <v/>
      </c>
      <c r="I6" s="15">
        <f>IF(F6=0,"",ROUNDDOWN(假设!$B$21/F6,1))</f>
        <v/>
      </c>
    </row>
    <row r="7">
      <c r="A7" s="18">
        <f>假设!A35</f>
        <v/>
      </c>
      <c r="B7" s="12">
        <f>假设!D35</f>
        <v/>
      </c>
      <c r="C7" s="13">
        <f>B7*假设!F35</f>
        <v/>
      </c>
      <c r="D7" s="12">
        <f>假设!G35</f>
        <v/>
      </c>
      <c r="E7" s="13">
        <f>B7-C7-D7</f>
        <v/>
      </c>
      <c r="F7" s="14">
        <f>假设!E35</f>
        <v/>
      </c>
      <c r="G7" s="13">
        <f>IF(F7=0,"",E7/F7)</f>
        <v/>
      </c>
      <c r="H7" s="15">
        <f>IF('会员单客经济'!$C$7=0,"",E7/'会员单客经济'!$C$7)</f>
        <v/>
      </c>
      <c r="I7" s="15">
        <f>IF(F7=0,"",ROUNDDOWN(假设!$B$21/F7,1))</f>
        <v/>
      </c>
    </row>
    <row r="8">
      <c r="A8" s="18">
        <f>假设!A36</f>
        <v/>
      </c>
      <c r="B8" s="12">
        <f>假设!D36</f>
        <v/>
      </c>
      <c r="C8" s="13">
        <f>B8*假设!F36</f>
        <v/>
      </c>
      <c r="D8" s="12">
        <f>假设!G36</f>
        <v/>
      </c>
      <c r="E8" s="13">
        <f>B8-C8-D8</f>
        <v/>
      </c>
      <c r="F8" s="14">
        <f>假设!E36</f>
        <v/>
      </c>
      <c r="G8" s="13">
        <f>IF(F8=0,"",E8/F8)</f>
        <v/>
      </c>
      <c r="H8" s="15">
        <f>IF('会员单客经济'!$C$7=0,"",E8/'会员单客经济'!$C$7)</f>
        <v/>
      </c>
      <c r="I8" s="15">
        <f>IF(F8=0,"",ROUNDDOWN(假设!$B$21/F8,1))</f>
        <v/>
      </c>
    </row>
    <row r="9">
      <c r="A9" s="18">
        <f>假设!A37</f>
        <v/>
      </c>
      <c r="B9" s="12">
        <f>假设!D37</f>
        <v/>
      </c>
      <c r="C9" s="13">
        <f>B9*假设!F37</f>
        <v/>
      </c>
      <c r="D9" s="12">
        <f>假设!G37</f>
        <v/>
      </c>
      <c r="E9" s="13">
        <f>B9-C9-D9</f>
        <v/>
      </c>
      <c r="F9" s="14">
        <f>假设!E37</f>
        <v/>
      </c>
      <c r="G9" s="13">
        <f>IF(F9=0,"",E9/F9)</f>
        <v/>
      </c>
      <c r="H9" s="15">
        <f>IF('会员单客经济'!$C$7=0,"",E9/'会员单客经济'!$C$7)</f>
        <v/>
      </c>
      <c r="I9" s="15">
        <f>IF(F9=0,"",ROUNDDOWN(假设!$B$21/F9,1))</f>
        <v/>
      </c>
    </row>
    <row r="10">
      <c r="A10" s="18">
        <f>假设!A38</f>
        <v/>
      </c>
      <c r="B10" s="12">
        <f>假设!D38</f>
        <v/>
      </c>
      <c r="C10" s="13">
        <f>B10*假设!F38</f>
        <v/>
      </c>
      <c r="D10" s="12">
        <f>假设!G38</f>
        <v/>
      </c>
      <c r="E10" s="13">
        <f>B10-C10-D10</f>
        <v/>
      </c>
      <c r="F10" s="14">
        <f>假设!E38</f>
        <v/>
      </c>
      <c r="G10" s="13">
        <f>IF(F10=0,"",E10/F10)</f>
        <v/>
      </c>
      <c r="H10" s="15">
        <f>IF('会员单客经济'!$C$7=0,"",E10/'会员单客经济'!$C$7)</f>
        <v/>
      </c>
      <c r="I10" s="15">
        <f>IF(F10=0,"",ROUNDDOWN(假设!$B$21/F10,1))</f>
        <v/>
      </c>
    </row>
    <row r="11">
      <c r="A11" s="19" t="inlineStr">
        <is>
          <t>对照：标准版399（当前情景）</t>
        </is>
      </c>
      <c r="G11" s="12">
        <f>'会员单客经济'!C9</f>
        <v/>
      </c>
    </row>
    <row r="13">
      <c r="A13" s="2" t="inlineStr">
        <is>
          <t>说明：P01 约 18–35 小时/项（B08），P02–P04 的工时与外包占比在 B08 中没有给出，表中为占位假设，首单交付后用 D05 工时记录替换。P05 按月计。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52" customWidth="1" min="5" max="5"/>
  </cols>
  <sheetData>
    <row r="1">
      <c r="A1" s="1" t="inlineStr">
        <is>
          <t>90天双线情景（会员线 + 专项线）</t>
        </is>
      </c>
    </row>
    <row r="2">
      <c r="A2" s="2" t="inlineStr">
        <is>
          <t>情景推演，不是预测。输入在“假设”第43–45行与第33–38行H列。</t>
        </is>
      </c>
    </row>
    <row r="4" ht="30" customHeight="1">
      <c r="A4" s="5" t="inlineStr">
        <is>
          <t>指标</t>
        </is>
      </c>
      <c r="B4" s="5" t="inlineStr">
        <is>
          <t>会员线</t>
        </is>
      </c>
      <c r="C4" s="5" t="inlineStr">
        <is>
          <t>专项线</t>
        </is>
      </c>
      <c r="D4" s="5" t="inlineStr">
        <is>
          <t>合计</t>
        </is>
      </c>
      <c r="E4" s="5" t="inlineStr">
        <is>
          <t>说明</t>
        </is>
      </c>
    </row>
    <row r="5">
      <c r="A5" s="6" t="inlineStr">
        <is>
          <t>体验企业数 / 专项成交数</t>
        </is>
      </c>
      <c r="B5" s="13">
        <f>假设!B43</f>
        <v/>
      </c>
      <c r="C5" s="13">
        <f>SUM(假设!$H$33:$H$38)</f>
        <v/>
      </c>
      <c r="D5" s="20" t="n"/>
      <c r="E5" s="8" t="inlineStr">
        <is>
          <t>专项按“假设”H列各产品成交数</t>
        </is>
      </c>
    </row>
    <row r="6">
      <c r="A6" s="6" t="inlineStr">
        <is>
          <t>正式会员转正数(家)</t>
        </is>
      </c>
      <c r="B6" s="13">
        <f>ROUND(B5*假设!B44,0)</f>
        <v/>
      </c>
      <c r="C6" s="13" t="inlineStr"/>
      <c r="D6" s="13">
        <f>B6</f>
        <v/>
      </c>
      <c r="E6" s="8" t="inlineStr"/>
    </row>
    <row r="7">
      <c r="A7" s="6" t="inlineStr">
        <is>
          <t>体验收入(元)</t>
        </is>
      </c>
      <c r="B7" s="13">
        <f>B5*假设!B15</f>
        <v/>
      </c>
      <c r="C7" s="13" t="inlineStr"/>
      <c r="D7" s="13">
        <f>B7</f>
        <v/>
      </c>
      <c r="E7" s="8" t="inlineStr">
        <is>
          <t>99元/家</t>
        </is>
      </c>
    </row>
    <row r="8">
      <c r="A8" s="6" t="inlineStr">
        <is>
          <t>会员费收入(元)</t>
        </is>
      </c>
      <c r="B8" s="13">
        <f>B6*(假设!$B$7*假设!$B$5+假设!$C$7*假设!$C$5+假设!$D$7*假设!$D$5)*假设!B45-B6*假设!B15</f>
        <v/>
      </c>
      <c r="C8" s="13" t="inlineStr"/>
      <c r="D8" s="13">
        <f>B8</f>
        <v/>
      </c>
      <c r="E8" s="8" t="inlineStr">
        <is>
          <t>转正数×结构加权月费×付费月数，扣除已抵扣的99元</t>
        </is>
      </c>
    </row>
    <row r="9">
      <c r="A9" s="6" t="inlineStr">
        <is>
          <t>专项收入(元)</t>
        </is>
      </c>
      <c r="B9" s="13" t="inlineStr"/>
      <c r="C9" s="13">
        <f>SUMPRODUCT(假设!$D$33:$D$38,假设!$H$33:$H$38)</f>
        <v/>
      </c>
      <c r="D9" s="13">
        <f>C9</f>
        <v/>
      </c>
      <c r="E9" s="8" t="inlineStr">
        <is>
          <t>测算报价×成交数；按全额到账计</t>
        </is>
      </c>
    </row>
    <row r="10">
      <c r="A10" s="6" t="inlineStr">
        <is>
          <t>90天收入合计(元)</t>
        </is>
      </c>
      <c r="B10" s="13">
        <f>B7+B8</f>
        <v/>
      </c>
      <c r="C10" s="13">
        <f>C9</f>
        <v/>
      </c>
      <c r="D10" s="13">
        <f>B10+C10</f>
        <v/>
      </c>
      <c r="E10" s="8" t="inlineStr"/>
    </row>
    <row r="11">
      <c r="A11" s="6" t="inlineStr">
        <is>
          <t>会员增量现金成本(元)</t>
        </is>
      </c>
      <c r="B11" s="13">
        <f>B6*(假设!$B$7*假设!$B$6+假设!$C$7*假设!$C$6+假设!$D$7*假设!$D$6)*假设!B45</f>
        <v/>
      </c>
      <c r="C11" s="13" t="inlineStr"/>
      <c r="D11" s="13">
        <f>B11</f>
        <v/>
      </c>
      <c r="E11" s="8" t="inlineStr"/>
    </row>
    <row r="12">
      <c r="A12" s="6" t="inlineStr">
        <is>
          <t>专项外包与直接费用(元)</t>
        </is>
      </c>
      <c r="B12" s="13" t="inlineStr"/>
      <c r="C12" s="13">
        <f>SUMPRODUCT(假设!$D$33:$D$38,假设!$F$33:$F$38,假设!$H$33:$H$38)+SUMPRODUCT(假设!$G$33:$G$38,假设!$H$33:$H$38)</f>
        <v/>
      </c>
      <c r="D12" s="13">
        <f>C12</f>
        <v/>
      </c>
      <c r="E12" s="8" t="inlineStr"/>
    </row>
    <row r="13">
      <c r="A13" s="6" t="inlineStr">
        <is>
          <t>线上直接现金结余(元)</t>
        </is>
      </c>
      <c r="B13" s="13">
        <f>B10-B11</f>
        <v/>
      </c>
      <c r="C13" s="13">
        <f>C10-C12</f>
        <v/>
      </c>
      <c r="D13" s="13">
        <f>B13+C13</f>
        <v/>
      </c>
      <c r="E13" s="8" t="inlineStr">
        <is>
          <t>未扣固定预算与一次性投入，见“90天预算”</t>
        </is>
      </c>
    </row>
    <row r="14">
      <c r="A14" s="6" t="inlineStr">
        <is>
          <t>体验期人工(小时)</t>
        </is>
      </c>
      <c r="B14" s="15">
        <f>B5*AVERAGE(假设!B16:B17)</f>
        <v/>
      </c>
      <c r="C14" s="15" t="inlineStr"/>
      <c r="D14" s="15">
        <f>B14</f>
        <v/>
      </c>
      <c r="E14" s="8" t="inlineStr">
        <is>
          <t>D01 区间中值</t>
        </is>
      </c>
    </row>
    <row r="15">
      <c r="A15" s="6" t="inlineStr">
        <is>
          <t>转正后稳定期人工(小时)</t>
        </is>
      </c>
      <c r="B15" s="15">
        <f>B6*(假设!$B$7*INDEX(假设!$B$8:$B$10,MATCH(假设!$B$14,假设!$A$8:$A$10,0))+假设!$C$7*INDEX(假设!$C$8:$C$10,MATCH(假设!$B$14,假设!$A$8:$A$10,0))+假设!$D$7*INDEX(假设!$D$8:$D$10,MATCH(假设!$B$14,假设!$A$8:$A$10,0)))*假设!B45</f>
        <v/>
      </c>
      <c r="C15" s="15" t="inlineStr"/>
      <c r="D15" s="15">
        <f>B15</f>
        <v/>
      </c>
      <c r="E15" s="8" t="inlineStr">
        <is>
          <t>当前效率情景</t>
        </is>
      </c>
    </row>
    <row r="16">
      <c r="A16" s="6" t="inlineStr">
        <is>
          <t>专项交付人工(小时)</t>
        </is>
      </c>
      <c r="B16" s="15" t="inlineStr"/>
      <c r="C16" s="15">
        <f>SUMPRODUCT(假设!$E$33:$E$38,假设!$H$33:$H$38)</f>
        <v/>
      </c>
      <c r="D16" s="15">
        <f>C16</f>
        <v/>
      </c>
      <c r="E16" s="8" t="inlineStr"/>
    </row>
    <row r="17">
      <c r="A17" s="6" t="inlineStr">
        <is>
          <t>共享批量服务(小时)</t>
        </is>
      </c>
      <c r="B17" s="15">
        <f>假设!B19*3</f>
        <v/>
      </c>
      <c r="C17" s="15" t="inlineStr"/>
      <c r="D17" s="15">
        <f>B17</f>
        <v/>
      </c>
      <c r="E17" s="8" t="inlineStr">
        <is>
          <t>记在会员线</t>
        </is>
      </c>
    </row>
    <row r="18">
      <c r="A18" s="6" t="inlineStr">
        <is>
          <t>90天客户服务人工合计(小时)</t>
        </is>
      </c>
      <c r="B18" s="15">
        <f>B14+B15+B17</f>
        <v/>
      </c>
      <c r="C18" s="15">
        <f>C16</f>
        <v/>
      </c>
      <c r="D18" s="15">
        <f>B18+C18</f>
        <v/>
      </c>
      <c r="E18" s="8" t="inlineStr">
        <is>
          <t>不含获客、开发、协会</t>
        </is>
      </c>
    </row>
    <row r="19">
      <c r="A19" s="6" t="inlineStr">
        <is>
          <t>每人工小时直接现金结余(元/时)</t>
        </is>
      </c>
      <c r="B19" s="13">
        <f>IF(B18=0,"",B13/B18)</f>
        <v/>
      </c>
      <c r="C19" s="13">
        <f>IF(C18=0,"",C13/C18)</f>
        <v/>
      </c>
      <c r="D19" s="13">
        <f>IF(D18=0,"",D13/D18)</f>
        <v/>
      </c>
      <c r="E19" s="8" t="inlineStr">
        <is>
          <t>主线裁决比较项（BP V0.4 17.7）</t>
        </is>
      </c>
    </row>
    <row r="20">
      <c r="A20" s="6" t="inlineStr">
        <is>
          <t>90天客户服务预算(小时)</t>
        </is>
      </c>
      <c r="B20" s="15" t="inlineStr"/>
      <c r="C20" s="15" t="inlineStr"/>
      <c r="D20" s="15">
        <f>假设!B21*3</f>
        <v/>
      </c>
      <c r="E20" s="8" t="inlineStr">
        <is>
          <t>65小时×3个月</t>
        </is>
      </c>
    </row>
    <row r="21">
      <c r="A21" s="6" t="inlineStr">
        <is>
          <t>客户服务预算占用率</t>
        </is>
      </c>
      <c r="B21" s="17" t="inlineStr"/>
      <c r="C21" s="17" t="inlineStr"/>
      <c r="D21" s="17">
        <f>IF(D20=0,"",D18/D20)</f>
        <v/>
      </c>
      <c r="E21" s="8" t="inlineStr">
        <is>
          <t>&gt;100% 说明情景超出单人容量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52" customWidth="1" min="4" max="4"/>
    <col width="16" customWidth="1" min="5" max="5"/>
  </cols>
  <sheetData>
    <row r="1">
      <c r="A1" s="1" t="inlineStr">
        <is>
          <t>H01｜90天创业现金预算</t>
        </is>
      </c>
    </row>
    <row r="2">
      <c r="A2" s="2" t="inlineStr">
        <is>
          <t>重建自 C02 V1.1 / F02 / MVP 中散落的预算口径。原始明细文件《D03-A V1.2》缺失，仅“1298元/月”总额有文档出处。</t>
        </is>
      </c>
    </row>
    <row r="4" ht="30" customHeight="1">
      <c r="A4" s="5" t="inlineStr">
        <is>
          <t>项目</t>
        </is>
      </c>
      <c r="B4" s="5" t="inlineStr">
        <is>
          <t>月度金额(元)</t>
        </is>
      </c>
      <c r="C4" s="5" t="inlineStr">
        <is>
          <t>90天合计(元)</t>
        </is>
      </c>
      <c r="D4" s="5" t="inlineStr">
        <is>
          <t>依据</t>
        </is>
      </c>
      <c r="E4" s="5" t="inlineStr">
        <is>
          <t>状态</t>
        </is>
      </c>
    </row>
    <row r="5">
      <c r="A5" s="16" t="inlineStr">
        <is>
          <t>一、固定现金预算（每月）</t>
        </is>
      </c>
    </row>
    <row r="6">
      <c r="A6" s="6" t="inlineStr">
        <is>
          <t>大模型 API</t>
        </is>
      </c>
      <c r="B6" s="7" t="n">
        <v>200</v>
      </c>
      <c r="C6" s="13">
        <f>B6*3</f>
        <v/>
      </c>
      <c r="D6" s="8" t="inlineStr">
        <is>
          <t>MVP 第九章：约100–300元/月，取中值</t>
        </is>
      </c>
      <c r="E6" s="8" t="inlineStr">
        <is>
          <t>重建估计，待确认</t>
        </is>
      </c>
    </row>
    <row r="7">
      <c r="A7" s="6" t="inlineStr">
        <is>
          <t>WorkBuddy</t>
        </is>
      </c>
      <c r="B7" s="7" t="n">
        <v>150</v>
      </c>
      <c r="C7" s="13">
        <f>B7*3</f>
        <v/>
      </c>
      <c r="D7" s="8" t="inlineStr">
        <is>
          <t>MVP 第九章：约100–200元/月，取中值</t>
        </is>
      </c>
      <c r="E7" s="8" t="inlineStr">
        <is>
          <t>重建估计，待确认</t>
        </is>
      </c>
    </row>
    <row r="8">
      <c r="A8" s="6" t="inlineStr">
        <is>
          <t>其他 AI 助手与工具软件订阅</t>
        </is>
      </c>
      <c r="B8" s="7" t="n">
        <v>150</v>
      </c>
      <c r="C8" s="13">
        <f>B8*3</f>
        <v/>
      </c>
      <c r="D8" s="8" t="inlineStr">
        <is>
          <t>C02 2.1 列有“AI和软件订阅”，金额无出处</t>
        </is>
      </c>
      <c r="E8" s="8" t="inlineStr">
        <is>
          <t>重建估计，待确认</t>
        </is>
      </c>
    </row>
    <row r="9">
      <c r="A9" s="6" t="inlineStr">
        <is>
          <t>云存储与加密备份</t>
        </is>
      </c>
      <c r="B9" s="7" t="n">
        <v>30</v>
      </c>
      <c r="C9" s="13">
        <f>B9*3</f>
        <v/>
      </c>
      <c r="D9" s="8" t="inlineStr">
        <is>
          <t>MVP 第九章：网盘0–30元/月，取上限</t>
        </is>
      </c>
      <c r="E9" s="8" t="inlineStr">
        <is>
          <t>重建估计，待确认</t>
        </is>
      </c>
    </row>
    <row r="10">
      <c r="A10" s="6" t="inlineStr">
        <is>
          <t>通信（业务手机号、流量）</t>
        </is>
      </c>
      <c r="B10" s="7" t="n">
        <v>100</v>
      </c>
      <c r="C10" s="13">
        <f>B10*3</f>
        <v/>
      </c>
      <c r="D10" s="8" t="inlineStr">
        <is>
          <t>C02 2.1 列有“通信”，金额无出处</t>
        </is>
      </c>
      <c r="E10" s="8" t="inlineStr">
        <is>
          <t>重建估计，待确认</t>
        </is>
      </c>
    </row>
    <row r="11">
      <c r="A11" s="6" t="inlineStr">
        <is>
          <t>客户拜访交通</t>
        </is>
      </c>
      <c r="B11" s="7" t="n">
        <v>300</v>
      </c>
      <c r="C11" s="13">
        <f>B11*3</f>
        <v/>
      </c>
      <c r="D11" s="8" t="inlineStr">
        <is>
          <t>C02 2.1 列有“客户拜访交通”，金额无出处</t>
        </is>
      </c>
      <c r="E11" s="8" t="inlineStr">
        <is>
          <t>重建估计，待确认</t>
        </is>
      </c>
    </row>
    <row r="12">
      <c r="A12" s="6" t="inlineStr">
        <is>
          <t>推广及销售材料</t>
        </is>
      </c>
      <c r="B12" s="7" t="n">
        <v>100</v>
      </c>
      <c r="C12" s="13">
        <f>B12*3</f>
        <v/>
      </c>
      <c r="D12" s="8" t="inlineStr">
        <is>
          <t>C02 2.1 列有“推广及销售材料”，金额无出处</t>
        </is>
      </c>
      <c r="E12" s="8" t="inlineStr">
        <is>
          <t>重建估计，待确认</t>
        </is>
      </c>
    </row>
    <row r="13">
      <c r="A13" s="6" t="inlineStr">
        <is>
          <t>记账及基本财税服务</t>
        </is>
      </c>
      <c r="B13" s="7" t="n">
        <v>200</v>
      </c>
      <c r="C13" s="13">
        <f>B13*3</f>
        <v/>
      </c>
      <c r="D13" s="8" t="inlineStr">
        <is>
          <t>C02 2.1 列有“记账及基本财税服务”，金额无出处</t>
        </is>
      </c>
      <c r="E13" s="8" t="inlineStr">
        <is>
          <t>重建估计，待确认</t>
        </is>
      </c>
    </row>
    <row r="14">
      <c r="A14" s="6" t="inlineStr">
        <is>
          <t>银行及其他必要运营费用</t>
        </is>
      </c>
      <c r="B14" s="7" t="n">
        <v>68</v>
      </c>
      <c r="C14" s="13">
        <f>B14*3</f>
        <v/>
      </c>
      <c r="D14" s="8" t="inlineStr">
        <is>
          <t>平衡项：使合计等于文档口径1298元/月</t>
        </is>
      </c>
      <c r="E14" s="8" t="inlineStr">
        <is>
          <t>平衡项</t>
        </is>
      </c>
    </row>
    <row r="15">
      <c r="A15" s="21" t="inlineStr">
        <is>
          <t>固定现金预算小计</t>
        </is>
      </c>
      <c r="B15" s="22">
        <f>SUM(B6:B14)</f>
        <v/>
      </c>
      <c r="C15" s="22">
        <f>SUM(C6:C14)</f>
        <v/>
      </c>
      <c r="D15" s="23">
        <f>IF(B15=1298,"✓ 与 C02/F02/BP 口径 1298元/月一致","⚠ 与文档口径 1298元/月不一致，请同步修订 C02/F02/BP")</f>
        <v/>
      </c>
      <c r="E15" s="23" t="inlineStr"/>
    </row>
    <row r="17">
      <c r="A17" s="16" t="inlineStr">
        <is>
          <t>二、一次性投入（90天内）</t>
        </is>
      </c>
    </row>
    <row r="18">
      <c r="A18" s="6" t="inlineStr">
        <is>
          <t>合同与数据授权文本法务审核</t>
        </is>
      </c>
      <c r="B18" s="8" t="inlineStr"/>
      <c r="C18" s="7" t="n">
        <v>2000</v>
      </c>
      <c r="D18" s="8" t="inlineStr">
        <is>
          <t>F01/D02 要求对外使用前完成法律审核；金额为占位假设</t>
        </is>
      </c>
      <c r="E18" s="8" t="inlineStr">
        <is>
          <t>占位假设，待询价</t>
        </is>
      </c>
    </row>
    <row r="19">
      <c r="A19" s="6" t="inlineStr">
        <is>
          <t>专用电脑 / 小主机</t>
        </is>
      </c>
      <c r="B19" s="8" t="inlineStr"/>
      <c r="C19" s="7" t="n">
        <v>0</v>
      </c>
      <c r="D19" s="8" t="inlineStr">
        <is>
          <t>MVP 第九章：0–5000元，可先用现有电脑</t>
        </is>
      </c>
      <c r="E19" s="8" t="inlineStr">
        <is>
          <t>按“先用现有电脑”</t>
        </is>
      </c>
    </row>
    <row r="20">
      <c r="A20" s="6" t="inlineStr">
        <is>
          <t>宣传折页与样例报告印刷</t>
        </is>
      </c>
      <c r="B20" s="8" t="inlineStr"/>
      <c r="C20" s="7" t="n">
        <v>300</v>
      </c>
      <c r="D20" s="8" t="inlineStr">
        <is>
          <t>占位假设</t>
        </is>
      </c>
      <c r="E20" s="8" t="inlineStr">
        <is>
          <t>占位假设</t>
        </is>
      </c>
    </row>
    <row r="21">
      <c r="A21" s="6" t="inlineStr">
        <is>
          <t>经营主体注册、开户、开票准备</t>
        </is>
      </c>
      <c r="B21" s="8" t="inlineStr"/>
      <c r="C21" s="7" t="n">
        <v>0</v>
      </c>
      <c r="D21" s="8" t="inlineStr">
        <is>
          <t>B08 十一：签约主体须合规；如已有主体填0</t>
        </is>
      </c>
      <c r="E21" s="8" t="inlineStr">
        <is>
          <t>待确认</t>
        </is>
      </c>
    </row>
    <row r="22">
      <c r="A22" s="21" t="inlineStr">
        <is>
          <t>一次性投入小计</t>
        </is>
      </c>
      <c r="B22" s="23" t="inlineStr"/>
      <c r="C22" s="22">
        <f>SUM(C18:C21)</f>
        <v/>
      </c>
      <c r="D22" s="24" t="n"/>
      <c r="E22" s="24" t="n"/>
    </row>
    <row r="24">
      <c r="A24" s="16" t="inlineStr">
        <is>
          <t>三、随业务发生的变动支出（来自“双线情景”）</t>
        </is>
      </c>
    </row>
    <row r="25">
      <c r="A25" s="6" t="inlineStr">
        <is>
          <t>会员增量现金成本</t>
        </is>
      </c>
      <c r="B25" s="8" t="inlineStr"/>
      <c r="C25" s="12">
        <f>'双线情景'!D11</f>
        <v/>
      </c>
      <c r="D25" s="8" t="inlineStr">
        <is>
          <t>随“双线情景”变化</t>
        </is>
      </c>
      <c r="E25" s="8" t="inlineStr">
        <is>
          <t>情景推演</t>
        </is>
      </c>
    </row>
    <row r="26">
      <c r="A26" s="6" t="inlineStr">
        <is>
          <t>专项外包与直接费用</t>
        </is>
      </c>
      <c r="B26" s="8" t="inlineStr"/>
      <c r="C26" s="12">
        <f>'双线情景'!D12</f>
        <v/>
      </c>
      <c r="D26" s="8" t="inlineStr">
        <is>
          <t>随“双线情景”变化</t>
        </is>
      </c>
      <c r="E26" s="8" t="inlineStr">
        <is>
          <t>情景推演</t>
        </is>
      </c>
    </row>
    <row r="27">
      <c r="A27" s="21" t="inlineStr">
        <is>
          <t>变动支出小计</t>
        </is>
      </c>
      <c r="B27" s="23" t="inlineStr"/>
      <c r="C27" s="22">
        <f>SUM(C25:C26)</f>
        <v/>
      </c>
      <c r="D27" s="24" t="n"/>
      <c r="E27" s="24" t="n"/>
    </row>
    <row r="29">
      <c r="A29" s="16" t="inlineStr">
        <is>
          <t>四、90天现金汇总（情景）</t>
        </is>
      </c>
    </row>
    <row r="30">
      <c r="A30" s="19" t="inlineStr">
        <is>
          <t>90天现金支出合计(元)</t>
        </is>
      </c>
      <c r="B30" s="8" t="inlineStr"/>
      <c r="C30" s="25">
        <f>C15+C22+C27</f>
        <v/>
      </c>
      <c r="D30" s="8" t="inlineStr">
        <is>
          <t>固定×3 + 一次性 + 变动</t>
        </is>
      </c>
      <c r="E30" s="8" t="inlineStr"/>
    </row>
    <row r="31">
      <c r="A31" s="19" t="inlineStr">
        <is>
          <t>90天收入(元，双线情景)</t>
        </is>
      </c>
      <c r="B31" s="8" t="inlineStr"/>
      <c r="C31" s="26">
        <f>'双线情景'!D10</f>
        <v/>
      </c>
      <c r="D31" s="8" t="inlineStr">
        <is>
          <t>见“双线情景”</t>
        </is>
      </c>
      <c r="E31" s="8" t="inlineStr"/>
    </row>
    <row r="32">
      <c r="A32" s="19" t="inlineStr">
        <is>
          <t>90天项目现金结余(元)</t>
        </is>
      </c>
      <c r="B32" s="8" t="inlineStr"/>
      <c r="C32" s="25">
        <f>C31-C30</f>
        <v/>
      </c>
      <c r="D32" s="8" t="inlineStr">
        <is>
          <t>F01 10.5 结果一口径；未计税费与创始人薪酬</t>
        </is>
      </c>
      <c r="E32" s="8" t="inlineStr"/>
    </row>
    <row r="33">
      <c r="A33" s="19" t="inlineStr">
        <is>
          <t>盈亏平衡所需90天收入(元)</t>
        </is>
      </c>
      <c r="B33" s="8" t="inlineStr"/>
      <c r="C33" s="25">
        <f>C30</f>
        <v/>
      </c>
      <c r="D33" s="8" t="inlineStr">
        <is>
          <t>即覆盖全部现金支出</t>
        </is>
      </c>
      <c r="E3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2026-10-12T08:18:50Z</dcterms:created>
  <dcterms:modified xmlns:dcterms="http://purl.org/dc/terms/" xmlns:xsi="http://www.w3.org/2001/XMLSchema-instance" xsi:type="dcterms:W3CDTF">2026-10-12T08:18:51Z</dcterms:modified>
</cp:coreProperties>
</file>