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KPI看板" sheetId="2" state="visible" r:id="rId2"/>
    <sheet xmlns:r="http://schemas.openxmlformats.org/officeDocument/2006/relationships" name="客户筛选" sheetId="3" state="visible" r:id="rId3"/>
    <sheet xmlns:r="http://schemas.openxmlformats.org/officeDocument/2006/relationships" name="客户台账" sheetId="4" state="visible" r:id="rId4"/>
    <sheet xmlns:r="http://schemas.openxmlformats.org/officeDocument/2006/relationships" name="工时记录" sheetId="5" state="visible" r:id="rId5"/>
    <sheet xmlns:r="http://schemas.openxmlformats.org/officeDocument/2006/relationships" name="互动记录" sheetId="6" state="visible" r:id="rId6"/>
    <sheet xmlns:r="http://schemas.openxmlformats.org/officeDocument/2006/relationships" name="支出记录" sheetId="7" state="visible" r:id="rId7"/>
    <sheet xmlns:r="http://schemas.openxmlformats.org/officeDocument/2006/relationships" name="30天复盘" sheetId="8" state="visible" r:id="rId8"/>
    <sheet xmlns:r="http://schemas.openxmlformats.org/officeDocument/2006/relationships" name="参数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#,##0;(#,##0);&quot;-&quot;"/>
    <numFmt numFmtId="166" formatCode="hh:mm"/>
    <numFmt numFmtId="167" formatCode="0.0%;-0.0%;&quot;-&quot;"/>
    <numFmt numFmtId="168" formatCode="#,##0.0;(#,##0.0);&quot;-&quot;"/>
    <numFmt numFmtId="169" formatCode="yyyy-mm"/>
  </numFmts>
  <fonts count="11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595959"/>
      <sz val="9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sz val="10"/>
    </font>
    <font>
      <name val="Arial"/>
      <color rgb="00000000"/>
      <sz val="10"/>
    </font>
    <font>
      <name val="Arial"/>
      <i val="1"/>
      <color rgb="00808080"/>
      <sz val="10"/>
    </font>
    <font>
      <name val="Arial"/>
      <b val="1"/>
      <sz val="11"/>
    </font>
    <font>
      <name val="Arial"/>
      <color rgb="00008000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9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 wrapText="1"/>
    </xf>
    <xf numFmtId="0" fontId="5" fillId="0" borderId="0" pivotButton="0" quotePrefix="0" xfId="0"/>
    <xf numFmtId="164" fontId="4" fillId="3" borderId="0" pivotButton="0" quotePrefix="0" xfId="0"/>
    <xf numFmtId="0" fontId="8" fillId="4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165" fontId="6" fillId="0" borderId="1" pivotButton="0" quotePrefix="0" xfId="0"/>
    <xf numFmtId="165" fontId="9" fillId="0" borderId="1" pivotButton="0" quotePrefix="0" xfId="0"/>
    <xf numFmtId="0" fontId="6" fillId="0" borderId="1" applyAlignment="1" pivotButton="0" quotePrefix="0" xfId="0">
      <alignment horizontal="center"/>
    </xf>
    <xf numFmtId="0" fontId="2" fillId="0" borderId="1" pivotButton="0" quotePrefix="0" xfId="0"/>
    <xf numFmtId="0" fontId="5" fillId="0" borderId="1" pivotButton="0" quotePrefix="0" xfId="0"/>
    <xf numFmtId="168" fontId="9" fillId="0" borderId="1" pivotButton="0" quotePrefix="0" xfId="0"/>
    <xf numFmtId="168" fontId="6" fillId="0" borderId="1" pivotButton="0" quotePrefix="0" xfId="0"/>
    <xf numFmtId="167" fontId="6" fillId="0" borderId="1" pivotButton="0" quotePrefix="0" xfId="0"/>
    <xf numFmtId="169" fontId="4" fillId="3" borderId="1" pivotButton="0" quotePrefix="0" xfId="0"/>
    <xf numFmtId="167" fontId="9" fillId="0" borderId="1" pivotButton="0" quotePrefix="0" xfId="0"/>
    <xf numFmtId="0" fontId="7" fillId="3" borderId="1" pivotButton="0" quotePrefix="0" xfId="0"/>
    <xf numFmtId="0" fontId="4" fillId="3" borderId="1" pivotButton="0" quotePrefix="0" xfId="0"/>
    <xf numFmtId="164" fontId="7" fillId="3" borderId="1" pivotButton="0" quotePrefix="0" xfId="0"/>
    <xf numFmtId="164" fontId="6" fillId="0" borderId="1" pivotButton="0" quotePrefix="0" xfId="0"/>
    <xf numFmtId="164" fontId="4" fillId="3" borderId="1" pivotButton="0" quotePrefix="0" xfId="0"/>
    <xf numFmtId="165" fontId="7" fillId="3" borderId="1" pivotButton="0" quotePrefix="0" xfId="0"/>
    <xf numFmtId="165" fontId="4" fillId="3" borderId="1" pivotButton="0" quotePrefix="0" xfId="0"/>
    <xf numFmtId="166" fontId="7" fillId="3" borderId="1" pivotButton="0" quotePrefix="0" xfId="0"/>
    <xf numFmtId="166" fontId="4" fillId="3" borderId="1" pivotButton="0" quotePrefix="0" xfId="0"/>
    <xf numFmtId="0" fontId="3" fillId="2" borderId="0" applyAlignment="1" pivotButton="0" quotePrefix="0" xfId="0">
      <alignment horizontal="center" wrapText="1"/>
    </xf>
    <xf numFmtId="9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" t="inlineStr">
        <is>
          <t>D05｜企业经营健康管理试点运营工具包 V1.0</t>
        </is>
      </c>
    </row>
    <row r="2">
      <c r="A2" s="2" t="inlineStr">
        <is>
          <t>版本日期：2026-10-12 · 对应：D01 30天试运营、D02 首批招募、F01 90天Go/No-Go、MVP 试点指标、B08 高级专项验证</t>
        </is>
      </c>
    </row>
    <row r="4" ht="30" customHeight="1">
      <c r="A4" s="3" t="inlineStr">
        <is>
          <t>用途</t>
        </is>
      </c>
      <c r="B4" s="4" t="inlineStr">
        <is>
          <t>试点第一天起记录真实数据：筛客户、记工时、记互动、记支出、做复盘，自动汇总成 KPI 看板。90天后用于 F01 V01–V05 验证报告与 BP V0.4 17.7 主线裁决。</t>
        </is>
      </c>
    </row>
    <row r="5" ht="30" customHeight="1">
      <c r="A5" s="3" t="inlineStr">
        <is>
          <t>颜色约定</t>
        </is>
      </c>
      <c r="B5" s="4" t="inlineStr">
        <is>
          <t>浅黄底 + 蓝字 = 需要填写的单元格；黑字 = 公式，请勿修改；绿字 = 引用“参数”表。</t>
        </is>
      </c>
    </row>
    <row r="6" ht="30" customHeight="1">
      <c r="A6" s="3" t="inlineStr">
        <is>
          <t>示例行</t>
        </is>
      </c>
      <c r="B6" s="4" t="inlineStr">
        <is>
          <t>各表第5行起的灰色斜体是示例（企业编号“示例-01/02”），仅用于演示格式和看板计算，正式使用前清空示例行中浅黄色输入格的内容即可；不要删除整行，以免破坏公式。</t>
        </is>
      </c>
    </row>
    <row r="7" ht="30" customHeight="1">
      <c r="A7" s="3" t="inlineStr">
        <is>
          <t>客户筛选</t>
        </is>
      </c>
      <c r="B7" s="4" t="inlineStr">
        <is>
          <t>D02 第十三节：五项优先条件各打 0/1/2 分，有慎重项时提示顾问人工判断。阈值在“参数”表修改。</t>
        </is>
      </c>
    </row>
    <row r="8" ht="30" customHeight="1">
      <c r="A8" s="3" t="inlineStr">
        <is>
          <t>客户台账</t>
        </is>
      </c>
      <c r="B8" s="4" t="inlineStr">
        <is>
          <t>每家企业一行，编号唯一（建议 HY-001 会员线、ZX-001 专项线）。状态、产品下拉选择。会员线填开始日后自动算出30天结束日。</t>
        </is>
      </c>
    </row>
    <row r="9" ht="45" customHeight="1">
      <c r="A9" s="3" t="inlineStr">
        <is>
          <t>工时记录</t>
        </is>
      </c>
      <c r="B9" s="4" t="inlineStr">
        <is>
          <t>每做完一件事记一行。只填“手填人工分钟”最快；也可填开始/结束时间自动计算。工作类型决定工时性质（一次性/维护/专项/共享/非服务）和预算类别。共享任务企业编号填“共享”，开发、协会等填“内部”。AI 运行时间单独填，不算人工。</t>
        </is>
      </c>
    </row>
    <row r="10" ht="30" customHeight="1">
      <c r="A10" s="3" t="inlineStr">
        <is>
          <t>互动记录</t>
        </is>
      </c>
      <c r="B10" s="4" t="inlineStr">
        <is>
          <t>老板主动提问、发数据、周报发送结果（未修改/修改后/退回）、建议被采用、增值线索、转介绍、发错对象、数字错误，逐条记录。</t>
        </is>
      </c>
    </row>
    <row r="11" ht="30" customHeight="1">
      <c r="A11" s="3" t="inlineStr">
        <is>
          <t>支出记录</t>
        </is>
      </c>
      <c r="B11" s="4" t="inlineStr">
        <is>
          <t>按实际账单记录；固定订阅不按客户重复分摊，只有确实因某家企业新增的支出才标“增量”并填企业编号。</t>
        </is>
      </c>
    </row>
    <row r="12" ht="30" customHeight="1">
      <c r="A12" s="3" t="inlineStr">
        <is>
          <t>30天复盘</t>
        </is>
      </c>
      <c r="B12" s="4" t="inlineStr">
        <is>
          <t>体验结束时与老板沟通填写，A–D 四项为顾问按 D01 第十一章的内部判断。</t>
        </is>
      </c>
    </row>
    <row r="13" ht="30" customHeight="1">
      <c r="A13" s="3" t="inlineStr">
        <is>
          <t>KPI看板</t>
        </is>
      </c>
      <c r="B13" s="4" t="inlineStr">
        <is>
          <t>一、总体指标与目标对比（目标值来自 MVP / F01 / B08，在“参数”表可改）；二、按月工时与 132 小时时间预算对比；三、分企业明细，逐行对应客户台账第5–54行。</t>
        </is>
      </c>
    </row>
    <row r="14" ht="30" customHeight="1">
      <c r="A14" s="3" t="inlineStr">
        <is>
          <t>容量</t>
        </is>
      </c>
      <c r="B14" s="4" t="inlineStr">
        <is>
          <t>客户台账 50 行、工时与互动记录各 1000 行、支出 500 行。超出时把最后一行（含公式）向下复制即可；KPI 看板公式范围需同步扩大。</t>
        </is>
      </c>
    </row>
    <row r="15" ht="30" customHeight="1">
      <c r="A15" s="3" t="inlineStr">
        <is>
          <t>口径提醒</t>
        </is>
      </c>
      <c r="B15" s="4" t="inlineStr">
        <is>
          <t>样本很小，任何单一指标都不能单独作为 GO/NO-GO 依据（F01 第八章）。口头意向不算成交，只认实际收款。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9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8" customWidth="1" min="4" max="4"/>
    <col width="46" customWidth="1" min="5" max="5"/>
    <col width="11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9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>
      <c r="A1" s="1" t="inlineStr">
        <is>
          <t>试点 KPI 看板</t>
        </is>
      </c>
    </row>
    <row r="2">
      <c r="A2" s="2" t="inlineStr">
        <is>
          <t>全部为公式，勿手改（看板日期除外）。删除各表示例行后即为真实数据。目标值在“参数”表修改。</t>
        </is>
      </c>
    </row>
    <row r="3">
      <c r="A3" s="5" t="inlineStr">
        <is>
          <t>看板日期</t>
        </is>
      </c>
      <c r="B3" s="6">
        <f>TODAY()</f>
        <v/>
      </c>
      <c r="C3" s="2" t="inlineStr">
        <is>
          <t>← 默认今天，可改为某个复盘日</t>
        </is>
      </c>
    </row>
    <row r="5">
      <c r="A5" s="7" t="inlineStr">
        <is>
          <t>一、总体指标</t>
        </is>
      </c>
      <c r="G5" s="7" t="inlineStr">
        <is>
          <t>二、月度工时 vs 时间预算（小时）</t>
        </is>
      </c>
    </row>
    <row r="6" ht="32" customHeight="1">
      <c r="A6" s="8" t="inlineStr">
        <is>
          <t>指标</t>
        </is>
      </c>
      <c r="B6" s="8" t="inlineStr">
        <is>
          <t>当前值</t>
        </is>
      </c>
      <c r="C6" s="8" t="inlineStr">
        <is>
          <t>目标</t>
        </is>
      </c>
      <c r="D6" s="8" t="inlineStr">
        <is>
          <t>达标？</t>
        </is>
      </c>
      <c r="E6" s="8" t="inlineStr">
        <is>
          <t>口径</t>
        </is>
      </c>
      <c r="G6" s="8" t="inlineStr">
        <is>
          <t>月份起始日</t>
        </is>
      </c>
      <c r="H6" s="8" t="inlineStr">
        <is>
          <t>客户服务</t>
        </is>
      </c>
      <c r="I6" s="8" t="inlineStr">
        <is>
          <t>客户开发与销售</t>
        </is>
      </c>
      <c r="J6" s="8" t="inlineStr">
        <is>
          <t>产品及AI工作流</t>
        </is>
      </c>
      <c r="K6" s="8" t="inlineStr">
        <is>
          <t>一般运营管理</t>
        </is>
      </c>
      <c r="L6" s="8" t="inlineStr">
        <is>
          <t>协会公益共建</t>
        </is>
      </c>
      <c r="M6" s="8" t="inlineStr">
        <is>
          <t>合计</t>
        </is>
      </c>
      <c r="N6" s="8" t="inlineStr">
        <is>
          <t>客户服务占用率</t>
        </is>
      </c>
    </row>
    <row r="7">
      <c r="A7" s="9" t="inlineStr">
        <is>
          <t>体验企业数（家）</t>
        </is>
      </c>
      <c r="B7" s="10">
        <f>COUNTIFS(客户台账!$D$5:$D$54,"会员线",客户台账!$K$5:$K$54,"&lt;&gt;")</f>
        <v/>
      </c>
      <c r="C7" s="11">
        <f>参数!$B$31</f>
        <v/>
      </c>
      <c r="D7" s="12">
        <f>IF(B7="","",IF(B7&gt;=C7,"✓","✗"))</f>
        <v/>
      </c>
      <c r="E7" s="13" t="inlineStr">
        <is>
          <t>会员线中已填开始日的企业</t>
        </is>
      </c>
      <c r="G7" s="14" t="inlineStr">
        <is>
          <t>月度预算</t>
        </is>
      </c>
      <c r="H7" s="15">
        <f>参数!$F$5</f>
        <v/>
      </c>
      <c r="I7" s="15">
        <f>参数!$F$6</f>
        <v/>
      </c>
      <c r="J7" s="15">
        <f>参数!$F$7</f>
        <v/>
      </c>
      <c r="K7" s="15">
        <f>参数!$F$8</f>
        <v/>
      </c>
      <c r="L7" s="15">
        <f>参数!$F$9</f>
        <v/>
      </c>
      <c r="M7" s="16">
        <f>SUM(H7:L7)</f>
        <v/>
      </c>
      <c r="N7" s="17" t="n"/>
    </row>
    <row r="8">
      <c r="A8" s="9" t="inlineStr">
        <is>
          <t>正式转正企业数（家）</t>
        </is>
      </c>
      <c r="B8" s="10">
        <f>COUNTIFS(客户台账!$D$5:$D$54,"会员线",客户台账!$I$5:$I$54,"正式会员")</f>
        <v/>
      </c>
      <c r="C8" s="11">
        <f>参数!$B$32</f>
        <v/>
      </c>
      <c r="D8" s="12">
        <f>IF(B8="","",IF(B8&gt;=C8,"✓","✗"))</f>
        <v/>
      </c>
      <c r="E8" s="13" t="inlineStr">
        <is>
          <t>会员线状态=正式会员</t>
        </is>
      </c>
      <c r="G8" s="18" t="n">
        <v>46296</v>
      </c>
      <c r="H8" s="16">
        <f>SUMIFS(工时记录!$I$5:$I$1004,工时记录!$L$5:$L$1004,"客户服务",工时记录!$A$5:$A$1004,"&gt;="&amp;$G8,工时记录!$A$5:$A$1004,"&lt;"&amp;EDATE($G8,1))/60</f>
        <v/>
      </c>
      <c r="I8" s="16">
        <f>SUMIFS(工时记录!$I$5:$I$1004,工时记录!$L$5:$L$1004,"客户开发与销售",工时记录!$A$5:$A$1004,"&gt;="&amp;$G8,工时记录!$A$5:$A$1004,"&lt;"&amp;EDATE($G8,1))/60</f>
        <v/>
      </c>
      <c r="J8" s="16">
        <f>SUMIFS(工时记录!$I$5:$I$1004,工时记录!$L$5:$L$1004,"产品及AI工作流",工时记录!$A$5:$A$1004,"&gt;="&amp;$G8,工时记录!$A$5:$A$1004,"&lt;"&amp;EDATE($G8,1))/60</f>
        <v/>
      </c>
      <c r="K8" s="16">
        <f>SUMIFS(工时记录!$I$5:$I$1004,工时记录!$L$5:$L$1004,"一般运营管理",工时记录!$A$5:$A$1004,"&gt;="&amp;$G8,工时记录!$A$5:$A$1004,"&lt;"&amp;EDATE($G8,1))/60</f>
        <v/>
      </c>
      <c r="L8" s="16">
        <f>SUMIFS(工时记录!$I$5:$I$1004,工时记录!$L$5:$L$1004,"协会公益共建",工时记录!$A$5:$A$1004,"&gt;="&amp;$G8,工时记录!$A$5:$A$1004,"&lt;"&amp;EDATE($G8,1))/60</f>
        <v/>
      </c>
      <c r="M8" s="16">
        <f>SUM(H8:L8)</f>
        <v/>
      </c>
      <c r="N8" s="17">
        <f>IF($H$7=0,"",H8/$H$7)</f>
        <v/>
      </c>
    </row>
    <row r="9">
      <c r="A9" s="9" t="inlineStr">
        <is>
          <t>体验→转正率</t>
        </is>
      </c>
      <c r="B9" s="17">
        <f>IF(B7=0,"",B8/B7)</f>
        <v/>
      </c>
      <c r="C9" s="9" t="n"/>
      <c r="D9" s="12" t="n"/>
      <c r="E9" s="13" t="inlineStr">
        <is>
          <t>转正数 ÷ 体验数；样本小，仅作参考</t>
        </is>
      </c>
      <c r="G9" s="18" t="n">
        <v>46327</v>
      </c>
      <c r="H9" s="16">
        <f>SUMIFS(工时记录!$I$5:$I$1004,工时记录!$L$5:$L$1004,"客户服务",工时记录!$A$5:$A$1004,"&gt;="&amp;$G9,工时记录!$A$5:$A$1004,"&lt;"&amp;EDATE($G9,1))/60</f>
        <v/>
      </c>
      <c r="I9" s="16">
        <f>SUMIFS(工时记录!$I$5:$I$1004,工时记录!$L$5:$L$1004,"客户开发与销售",工时记录!$A$5:$A$1004,"&gt;="&amp;$G9,工时记录!$A$5:$A$1004,"&lt;"&amp;EDATE($G9,1))/60</f>
        <v/>
      </c>
      <c r="J9" s="16">
        <f>SUMIFS(工时记录!$I$5:$I$1004,工时记录!$L$5:$L$1004,"产品及AI工作流",工时记录!$A$5:$A$1004,"&gt;="&amp;$G9,工时记录!$A$5:$A$1004,"&lt;"&amp;EDATE($G9,1))/60</f>
        <v/>
      </c>
      <c r="K9" s="16">
        <f>SUMIFS(工时记录!$I$5:$I$1004,工时记录!$L$5:$L$1004,"一般运营管理",工时记录!$A$5:$A$1004,"&gt;="&amp;$G9,工时记录!$A$5:$A$1004,"&lt;"&amp;EDATE($G9,1))/60</f>
        <v/>
      </c>
      <c r="L9" s="16">
        <f>SUMIFS(工时记录!$I$5:$I$1004,工时记录!$L$5:$L$1004,"协会公益共建",工时记录!$A$5:$A$1004,"&gt;="&amp;$G9,工时记录!$A$5:$A$1004,"&lt;"&amp;EDATE($G9,1))/60</f>
        <v/>
      </c>
      <c r="M9" s="16">
        <f>SUM(H9:L9)</f>
        <v/>
      </c>
      <c r="N9" s="17">
        <f>IF($H$7=0,"",H9/$H$7)</f>
        <v/>
      </c>
    </row>
    <row r="10">
      <c r="A10" s="9" t="inlineStr">
        <is>
          <t>数据按时发送率（企业平均）</t>
        </is>
      </c>
      <c r="B10" s="17">
        <f>IFERROR(AVERAGE($L$30:$L$79),"")</f>
        <v/>
      </c>
      <c r="C10" s="19">
        <f>参数!$B$33</f>
        <v/>
      </c>
      <c r="D10" s="12">
        <f>IF(B10="","",IF(B10&gt;=C10,"✓","✗"))</f>
        <v/>
      </c>
      <c r="E10" s="13" t="inlineStr">
        <is>
          <t>每家：老板发送数据次数 ÷ 已服务周数（封顶100%），再取平均</t>
        </is>
      </c>
      <c r="G10" s="18" t="n">
        <v>46357</v>
      </c>
      <c r="H10" s="16">
        <f>SUMIFS(工时记录!$I$5:$I$1004,工时记录!$L$5:$L$1004,"客户服务",工时记录!$A$5:$A$1004,"&gt;="&amp;$G10,工时记录!$A$5:$A$1004,"&lt;"&amp;EDATE($G10,1))/60</f>
        <v/>
      </c>
      <c r="I10" s="16">
        <f>SUMIFS(工时记录!$I$5:$I$1004,工时记录!$L$5:$L$1004,"客户开发与销售",工时记录!$A$5:$A$1004,"&gt;="&amp;$G10,工时记录!$A$5:$A$1004,"&lt;"&amp;EDATE($G10,1))/60</f>
        <v/>
      </c>
      <c r="J10" s="16">
        <f>SUMIFS(工时记录!$I$5:$I$1004,工时记录!$L$5:$L$1004,"产品及AI工作流",工时记录!$A$5:$A$1004,"&gt;="&amp;$G10,工时记录!$A$5:$A$1004,"&lt;"&amp;EDATE($G10,1))/60</f>
        <v/>
      </c>
      <c r="K10" s="16">
        <f>SUMIFS(工时记录!$I$5:$I$1004,工时记录!$L$5:$L$1004,"一般运营管理",工时记录!$A$5:$A$1004,"&gt;="&amp;$G10,工时记录!$A$5:$A$1004,"&lt;"&amp;EDATE($G10,1))/60</f>
        <v/>
      </c>
      <c r="L10" s="16">
        <f>SUMIFS(工时记录!$I$5:$I$1004,工时记录!$L$5:$L$1004,"协会公益共建",工时记录!$A$5:$A$1004,"&gt;="&amp;$G10,工时记录!$A$5:$A$1004,"&lt;"&amp;EDATE($G10,1))/60</f>
        <v/>
      </c>
      <c r="M10" s="16">
        <f>SUM(H10:L10)</f>
        <v/>
      </c>
      <c r="N10" s="17">
        <f>IF($H$7=0,"",H10/$H$7)</f>
        <v/>
      </c>
    </row>
    <row r="11">
      <c r="A11" s="9" t="inlineStr">
        <is>
          <t>周报修改率</t>
        </is>
      </c>
      <c r="B11" s="17">
        <f>IFERROR((COUNTIF(互动记录!$C$5:$C$1004,"周报经修改后发送")+COUNTIF(互动记录!$C$5:$C$1004,"周报退回重做"))/(COUNTIF(互动记录!$C$5:$C$1004,"周报已发送（未修改）")+COUNTIF(互动记录!$C$5:$C$1004,"周报经修改后发送")+COUNTIF(互动记录!$C$5:$C$1004,"周报退回重做")),"")</f>
        <v/>
      </c>
      <c r="C11" s="19">
        <f>参数!$B$34</f>
        <v/>
      </c>
      <c r="D11" s="12">
        <f>IF(B11="","",IF(B11&lt;=C11,"✓","✗"))</f>
        <v/>
      </c>
      <c r="E11" s="13" t="inlineStr">
        <is>
          <t>(修改后发送 + 退回重做) ÷ 全部周报；目标针对第4周</t>
        </is>
      </c>
      <c r="G11" s="18" t="n">
        <v>46388</v>
      </c>
      <c r="H11" s="16">
        <f>SUMIFS(工时记录!$I$5:$I$1004,工时记录!$L$5:$L$1004,"客户服务",工时记录!$A$5:$A$1004,"&gt;="&amp;$G11,工时记录!$A$5:$A$1004,"&lt;"&amp;EDATE($G11,1))/60</f>
        <v/>
      </c>
      <c r="I11" s="16">
        <f>SUMIFS(工时记录!$I$5:$I$1004,工时记录!$L$5:$L$1004,"客户开发与销售",工时记录!$A$5:$A$1004,"&gt;="&amp;$G11,工时记录!$A$5:$A$1004,"&lt;"&amp;EDATE($G11,1))/60</f>
        <v/>
      </c>
      <c r="J11" s="16">
        <f>SUMIFS(工时记录!$I$5:$I$1004,工时记录!$L$5:$L$1004,"产品及AI工作流",工时记录!$A$5:$A$1004,"&gt;="&amp;$G11,工时记录!$A$5:$A$1004,"&lt;"&amp;EDATE($G11,1))/60</f>
        <v/>
      </c>
      <c r="K11" s="16">
        <f>SUMIFS(工时记录!$I$5:$I$1004,工时记录!$L$5:$L$1004,"一般运营管理",工时记录!$A$5:$A$1004,"&gt;="&amp;$G11,工时记录!$A$5:$A$1004,"&lt;"&amp;EDATE($G11,1))/60</f>
        <v/>
      </c>
      <c r="L11" s="16">
        <f>SUMIFS(工时记录!$I$5:$I$1004,工时记录!$L$5:$L$1004,"协会公益共建",工时记录!$A$5:$A$1004,"&gt;="&amp;$G11,工时记录!$A$5:$A$1004,"&lt;"&amp;EDATE($G11,1))/60</f>
        <v/>
      </c>
      <c r="M11" s="16">
        <f>SUM(H11:L11)</f>
        <v/>
      </c>
      <c r="N11" s="17">
        <f>IF($H$7=0,"",H11/$H$7)</f>
        <v/>
      </c>
    </row>
    <row r="12">
      <c r="A12" s="9" t="inlineStr">
        <is>
          <t>每企业每周维护人工（分钟）</t>
        </is>
      </c>
      <c r="B12" s="16">
        <f>IFERROR(AVERAGE($J$30:$J$79),"")</f>
        <v/>
      </c>
      <c r="C12" s="15">
        <f>参数!$B$35</f>
        <v/>
      </c>
      <c r="D12" s="12">
        <f>IF(B12="","",IF(B12&lt;=C12,"✓","✗"))</f>
        <v/>
      </c>
      <c r="E12" s="13" t="inlineStr">
        <is>
          <t>工时性质=维护 的分钟 ÷ 已服务周数，取平均；不含首次建档</t>
        </is>
      </c>
      <c r="G12" s="2" t="inlineStr">
        <is>
          <t>客户服务月度占用超过约80%（≈52小时，F02 常规排期参考线）时，新专项顺延开工（BP V0.4 17.6）。</t>
        </is>
      </c>
    </row>
    <row r="13">
      <c r="A13" s="9" t="inlineStr">
        <is>
          <t>发错对象（次）</t>
        </is>
      </c>
      <c r="B13" s="10">
        <f>COUNTIF(互动记录!$C$5:$C$1004,"发错对象")</f>
        <v/>
      </c>
      <c r="C13" s="11">
        <f>参数!$B$36</f>
        <v/>
      </c>
      <c r="D13" s="12">
        <f>IF(B13="","",IF(B13&lt;=C13,"✓","✗"))</f>
        <v/>
      </c>
      <c r="E13" s="13" t="inlineStr">
        <is>
          <t>任何一次都需复盘</t>
        </is>
      </c>
    </row>
    <row r="14">
      <c r="A14" s="9" t="inlineStr">
        <is>
          <t>数字错误（次）</t>
        </is>
      </c>
      <c r="B14" s="10">
        <f>COUNTIF(互动记录!$C$5:$C$1004,"数字错误")</f>
        <v/>
      </c>
      <c r="C14" s="9" t="n"/>
      <c r="D14" s="12" t="n"/>
      <c r="E14" s="13" t="inlineStr">
        <is>
          <t>已发出内容中被发现的数字错误</t>
        </is>
      </c>
    </row>
    <row r="15">
      <c r="A15" s="9" t="inlineStr">
        <is>
          <t>主动提问/提需求企业数（家）</t>
        </is>
      </c>
      <c r="B15" s="10">
        <f>COUNTIF($M$30:$M$79,"&gt;0")</f>
        <v/>
      </c>
      <c r="C15" s="11">
        <f>参数!$B$37</f>
        <v/>
      </c>
      <c r="D15" s="12">
        <f>IF(B15="","",IF(B15&gt;=C15,"✓","✗"))</f>
        <v/>
      </c>
      <c r="E15" s="13" t="inlineStr">
        <is>
          <t>至少有1次老板主动提问/提需求的企业</t>
        </is>
      </c>
    </row>
    <row r="16">
      <c r="A16" s="9" t="inlineStr">
        <is>
          <t>增值/专项线索（条）</t>
        </is>
      </c>
      <c r="B16" s="10">
        <f>COUNTIF(互动记录!$C$5:$C$1004,"增值/专项线索")</f>
        <v/>
      </c>
      <c r="C16" s="9" t="n"/>
      <c r="D16" s="12" t="n"/>
      <c r="E16" s="13" t="inlineStr">
        <is>
          <t>来自互动记录</t>
        </is>
      </c>
    </row>
    <row r="17">
      <c r="A17" s="9" t="inlineStr">
        <is>
          <t>专项正式报价数</t>
        </is>
      </c>
      <c r="B17" s="10">
        <f>COUNTIFS(客户台账!$D$5:$D$54,"专项线",客户台账!$I$5:$I$54,"已报价（专项）")+COUNTIFS(客户台账!$D$5:$D$54,"专项线",客户台账!$I$5:$I$54,"已签约（专项）")+COUNTIFS(客户台账!$D$5:$D$54,"专项线",客户台账!$I$5:$I$54,"交付中（专项）")+COUNTIFS(客户台账!$D$5:$D$54,"专项线",客户台账!$I$5:$I$54,"已验收（专项）")</f>
        <v/>
      </c>
      <c r="C17" s="11">
        <f>参数!$B$38</f>
        <v/>
      </c>
      <c r="D17" s="12">
        <f>IF(B17="","",IF(B17&gt;=C17,"✓","✗"))</f>
        <v/>
      </c>
      <c r="E17" s="13" t="inlineStr">
        <is>
          <t>状态已到报价及之后的专项客户</t>
        </is>
      </c>
    </row>
    <row r="18">
      <c r="A18" s="9" t="inlineStr">
        <is>
          <t>专项成交数</t>
        </is>
      </c>
      <c r="B18" s="10">
        <f>COUNTIFS(客户台账!$D$5:$D$54,"专项线",客户台账!$I$5:$I$54,"已签约（专项）")+COUNTIFS(客户台账!$D$5:$D$54,"专项线",客户台账!$I$5:$I$54,"交付中（专项）")+COUNTIFS(客户台账!$D$5:$D$54,"专项线",客户台账!$I$5:$I$54,"已验收（专项）")</f>
        <v/>
      </c>
      <c r="C18" s="11">
        <f>参数!$B$39</f>
        <v/>
      </c>
      <c r="D18" s="12">
        <f>IF(B18="","",IF(B18&gt;=C18,"✓","✗"))</f>
        <v/>
      </c>
      <c r="E18" s="13" t="inlineStr">
        <is>
          <t>已签约、交付中、已验收</t>
        </is>
      </c>
    </row>
    <row r="19">
      <c r="A19" s="9" t="inlineStr">
        <is>
          <t>累计实收：会员线（元）</t>
        </is>
      </c>
      <c r="B19" s="10">
        <f>SUMIFS(客户台账!$N$5:$N$54,客户台账!$D$5:$D$54,"会员线")</f>
        <v/>
      </c>
      <c r="C19" s="9" t="n"/>
      <c r="D19" s="12" t="n"/>
      <c r="E19" s="13" t="inlineStr">
        <is>
          <t>客户台账 累计实收</t>
        </is>
      </c>
    </row>
    <row r="20">
      <c r="A20" s="9" t="inlineStr">
        <is>
          <t>累计实收：专项线（元）</t>
        </is>
      </c>
      <c r="B20" s="10">
        <f>SUMIFS(客户台账!$N$5:$N$54,客户台账!$D$5:$D$54,"专项线")</f>
        <v/>
      </c>
      <c r="C20" s="9" t="n"/>
      <c r="D20" s="12" t="n"/>
      <c r="E20" s="13" t="inlineStr">
        <is>
          <t>客户台账 累计实收</t>
        </is>
      </c>
    </row>
    <row r="21">
      <c r="A21" s="9" t="inlineStr">
        <is>
          <t>累计现金支出（元）</t>
        </is>
      </c>
      <c r="B21" s="10">
        <f>SUM(支出记录!$E$5:$E$504)</f>
        <v/>
      </c>
      <c r="C21" s="9" t="n"/>
      <c r="D21" s="12" t="n"/>
      <c r="E21" s="13" t="inlineStr">
        <is>
          <t>固定 + 增量</t>
        </is>
      </c>
    </row>
    <row r="22">
      <c r="A22" s="9" t="inlineStr">
        <is>
          <t>项目现金结余（元）</t>
        </is>
      </c>
      <c r="B22" s="10">
        <f>B19+B20-B21</f>
        <v/>
      </c>
      <c r="C22" s="9" t="n"/>
      <c r="D22" s="12" t="n"/>
      <c r="E22" s="13" t="inlineStr">
        <is>
          <t>F01 10.5 结果一：实际收入 − 实际现金支出</t>
        </is>
      </c>
    </row>
    <row r="23">
      <c r="A23" s="9" t="inlineStr">
        <is>
          <t>每小时现金贡献：会员线（元/时）</t>
        </is>
      </c>
      <c r="B23" s="10">
        <f>IFERROR(B19/(SUMIFS(工时记录!$I$5:$I$1004,工时记录!$C$5:$C$1004,"会员线")/60),"")</f>
        <v/>
      </c>
      <c r="C23" s="9" t="n"/>
      <c r="D23" s="12" t="n"/>
      <c r="E23" s="13" t="inlineStr">
        <is>
          <t>会员线实收 ÷ 会员线全部人工工时（含获客）</t>
        </is>
      </c>
    </row>
    <row r="24">
      <c r="A24" s="9" t="inlineStr">
        <is>
          <t>每小时现金贡献：专项线（元/时）</t>
        </is>
      </c>
      <c r="B24" s="10">
        <f>IFERROR(B20/(SUMIFS(工时记录!$I$5:$I$1004,工时记录!$C$5:$C$1004,"专项线")/60),"")</f>
        <v/>
      </c>
      <c r="C24" s="9" t="n"/>
      <c r="D24" s="12" t="n"/>
      <c r="E24" s="13" t="inlineStr">
        <is>
          <t>专项线实收 ÷ 专项线全部人工工时（含售前）；用于 BP V0.4 17.7 主线裁决</t>
        </is>
      </c>
    </row>
    <row r="28">
      <c r="A28" s="7" t="inlineStr">
        <is>
          <t>三、分企业明细（逐行对应客户台账第5–54行）</t>
        </is>
      </c>
    </row>
    <row r="29" ht="32" customHeight="1">
      <c r="A29" s="8" t="inlineStr">
        <is>
          <t>企业编号</t>
        </is>
      </c>
      <c r="B29" s="8" t="inlineStr">
        <is>
          <t>企业简称</t>
        </is>
      </c>
      <c r="C29" s="8" t="inlineStr">
        <is>
          <t>线别</t>
        </is>
      </c>
      <c r="D29" s="8" t="inlineStr">
        <is>
          <t>当前状态</t>
        </is>
      </c>
      <c r="E29" s="8" t="inlineStr">
        <is>
          <t>已服务周数</t>
        </is>
      </c>
      <c r="F29" s="8" t="inlineStr">
        <is>
          <t>一次性工时(时)</t>
        </is>
      </c>
      <c r="G29" s="8" t="inlineStr">
        <is>
          <t>维护工时(时)</t>
        </is>
      </c>
      <c r="H29" s="8" t="inlineStr">
        <is>
          <t>专项工时(时)</t>
        </is>
      </c>
      <c r="I29" s="8" t="inlineStr">
        <is>
          <t>合计工时(时)</t>
        </is>
      </c>
      <c r="J29" s="8" t="inlineStr">
        <is>
          <t>每周维护人工(分钟)</t>
        </is>
      </c>
      <c r="K29" s="8" t="inlineStr">
        <is>
          <t>数据发送次数</t>
        </is>
      </c>
      <c r="L29" s="8" t="inlineStr">
        <is>
          <t>数据按时率</t>
        </is>
      </c>
      <c r="M29" s="8" t="inlineStr">
        <is>
          <t>主动提问次数</t>
        </is>
      </c>
      <c r="N29" s="8" t="inlineStr">
        <is>
          <t>周报发送数</t>
        </is>
      </c>
      <c r="O29" s="8" t="inlineStr">
        <is>
          <t>周报修改率</t>
        </is>
      </c>
      <c r="P29" s="8" t="inlineStr">
        <is>
          <t>建议被采用次数</t>
        </is>
      </c>
      <c r="Q29" s="8" t="inlineStr">
        <is>
          <t>增值线索</t>
        </is>
      </c>
      <c r="R29" s="8" t="inlineStr">
        <is>
          <t>实收(元)</t>
        </is>
      </c>
      <c r="S29" s="8" t="inlineStr">
        <is>
          <t>增量支出(元)</t>
        </is>
      </c>
      <c r="T29" s="8" t="inlineStr">
        <is>
          <t>每小时现金贡献(元/时)</t>
        </is>
      </c>
    </row>
    <row r="30">
      <c r="A30" s="9">
        <f>IF(客户台账!A5="","",客户台账!A5)</f>
        <v/>
      </c>
      <c r="B30" s="9">
        <f>IF($A30="","",客户台账!B5)</f>
        <v/>
      </c>
      <c r="C30" s="9">
        <f>IF($A30="","",客户台账!D5)</f>
        <v/>
      </c>
      <c r="D30" s="9">
        <f>IF($A30="","",客户台账!I5)</f>
        <v/>
      </c>
      <c r="E30" s="10">
        <f>IF(OR($A30="",客户台账!K5="",C30&lt;&gt;"会员线"),"",MAX(1,ROUNDUP((MIN(客户台账!L5,$B$3)-客户台账!K5+1)/7,0)))</f>
        <v/>
      </c>
      <c r="F30" s="16">
        <f>IF($A30="","",SUMIFS(工时记录!$I$5:$I$1004,工时记录!$B$5:$B$1004,$A30,工时记录!$K$5:$K$1004,"一次性")/60)</f>
        <v/>
      </c>
      <c r="G30" s="16">
        <f>IF($A30="","",SUMIFS(工时记录!$I$5:$I$1004,工时记录!$B$5:$B$1004,$A30,工时记录!$K$5:$K$1004,"维护")/60)</f>
        <v/>
      </c>
      <c r="H30" s="16">
        <f>IF($A30="","",SUMIFS(工时记录!$I$5:$I$1004,工时记录!$B$5:$B$1004,$A30,工时记录!$K$5:$K$1004,"专项")/60)</f>
        <v/>
      </c>
      <c r="I30" s="16">
        <f>IF($A30="","",SUMIFS(工时记录!$I$5:$I$1004,工时记录!$B$5:$B$1004,$A30)/60)</f>
        <v/>
      </c>
      <c r="J30" s="16">
        <f>IF(OR($A30="",E30=""),"",G30*60/E30)</f>
        <v/>
      </c>
      <c r="K30" s="10">
        <f>IF($A30="","",COUNTIFS(互动记录!$B$5:$B$1004,$A30,互动记录!$C$5:$C$1004,"老板发送数据"))</f>
        <v/>
      </c>
      <c r="L30" s="17">
        <f>IF(OR($A30="",E30=""),"",MIN(1,K30/E30))</f>
        <v/>
      </c>
      <c r="M30" s="10">
        <f>IF($A30="","",COUNTIFS(互动记录!$B$5:$B$1004,$A30,互动记录!$C$5:$C$1004,"老板主动提问/提需求"))</f>
        <v/>
      </c>
      <c r="N30" s="10">
        <f>IF($A30="","",COUNTIFS(互动记录!$B$5:$B$1004,$A30,互动记录!$C$5:$C$1004,"周报已发送（未修改）")+COUNTIFS(互动记录!$B$5:$B$1004,$A30,互动记录!$C$5:$C$1004,"周报经修改后发送")+COUNTIFS(互动记录!$B$5:$B$1004,$A30,互动记录!$C$5:$C$1004,"周报退回重做"))</f>
        <v/>
      </c>
      <c r="O30" s="17">
        <f>IF(OR($A30="",N30=0),"",(COUNTIFS(互动记录!$B$5:$B$1004,$A30,互动记录!$C$5:$C$1004,"周报经修改后发送")+COUNTIFS(互动记录!$B$5:$B$1004,$A30,互动记录!$C$5:$C$1004,"周报退回重做"))/N30)</f>
        <v/>
      </c>
      <c r="P30" s="10">
        <f>IF($A30="","",COUNTIFS(互动记录!$B$5:$B$1004,$A30,互动记录!$C$5:$C$1004,"建议被采用"))</f>
        <v/>
      </c>
      <c r="Q30" s="10">
        <f>IF($A30="","",COUNTIFS(互动记录!$B$5:$B$1004,$A30,互动记录!$C$5:$C$1004,"增值/专项线索"))</f>
        <v/>
      </c>
      <c r="R30" s="10">
        <f>IF($A30="","",客户台账!N5)</f>
        <v/>
      </c>
      <c r="S30" s="10">
        <f>IF($A30="","",SUMIFS(支出记录!$E$5:$E$504,支出记录!$D$5:$D$504,$A30))</f>
        <v/>
      </c>
      <c r="T30" s="10">
        <f>IF(OR($A30="",I30=0),"",(R30-S30)/I30)</f>
        <v/>
      </c>
    </row>
    <row r="31">
      <c r="A31" s="9">
        <f>IF(客户台账!A6="","",客户台账!A6)</f>
        <v/>
      </c>
      <c r="B31" s="9">
        <f>IF($A31="","",客户台账!B6)</f>
        <v/>
      </c>
      <c r="C31" s="9">
        <f>IF($A31="","",客户台账!D6)</f>
        <v/>
      </c>
      <c r="D31" s="9">
        <f>IF($A31="","",客户台账!I6)</f>
        <v/>
      </c>
      <c r="E31" s="10">
        <f>IF(OR($A31="",客户台账!K6="",C31&lt;&gt;"会员线"),"",MAX(1,ROUNDUP((MIN(客户台账!L6,$B$3)-客户台账!K6+1)/7,0)))</f>
        <v/>
      </c>
      <c r="F31" s="16">
        <f>IF($A31="","",SUMIFS(工时记录!$I$5:$I$1004,工时记录!$B$5:$B$1004,$A31,工时记录!$K$5:$K$1004,"一次性")/60)</f>
        <v/>
      </c>
      <c r="G31" s="16">
        <f>IF($A31="","",SUMIFS(工时记录!$I$5:$I$1004,工时记录!$B$5:$B$1004,$A31,工时记录!$K$5:$K$1004,"维护")/60)</f>
        <v/>
      </c>
      <c r="H31" s="16">
        <f>IF($A31="","",SUMIFS(工时记录!$I$5:$I$1004,工时记录!$B$5:$B$1004,$A31,工时记录!$K$5:$K$1004,"专项")/60)</f>
        <v/>
      </c>
      <c r="I31" s="16">
        <f>IF($A31="","",SUMIFS(工时记录!$I$5:$I$1004,工时记录!$B$5:$B$1004,$A31)/60)</f>
        <v/>
      </c>
      <c r="J31" s="16">
        <f>IF(OR($A31="",E31=""),"",G31*60/E31)</f>
        <v/>
      </c>
      <c r="K31" s="10">
        <f>IF($A31="","",COUNTIFS(互动记录!$B$5:$B$1004,$A31,互动记录!$C$5:$C$1004,"老板发送数据"))</f>
        <v/>
      </c>
      <c r="L31" s="17">
        <f>IF(OR($A31="",E31=""),"",MIN(1,K31/E31))</f>
        <v/>
      </c>
      <c r="M31" s="10">
        <f>IF($A31="","",COUNTIFS(互动记录!$B$5:$B$1004,$A31,互动记录!$C$5:$C$1004,"老板主动提问/提需求"))</f>
        <v/>
      </c>
      <c r="N31" s="10">
        <f>IF($A31="","",COUNTIFS(互动记录!$B$5:$B$1004,$A31,互动记录!$C$5:$C$1004,"周报已发送（未修改）")+COUNTIFS(互动记录!$B$5:$B$1004,$A31,互动记录!$C$5:$C$1004,"周报经修改后发送")+COUNTIFS(互动记录!$B$5:$B$1004,$A31,互动记录!$C$5:$C$1004,"周报退回重做"))</f>
        <v/>
      </c>
      <c r="O31" s="17">
        <f>IF(OR($A31="",N31=0),"",(COUNTIFS(互动记录!$B$5:$B$1004,$A31,互动记录!$C$5:$C$1004,"周报经修改后发送")+COUNTIFS(互动记录!$B$5:$B$1004,$A31,互动记录!$C$5:$C$1004,"周报退回重做"))/N31)</f>
        <v/>
      </c>
      <c r="P31" s="10">
        <f>IF($A31="","",COUNTIFS(互动记录!$B$5:$B$1004,$A31,互动记录!$C$5:$C$1004,"建议被采用"))</f>
        <v/>
      </c>
      <c r="Q31" s="10">
        <f>IF($A31="","",COUNTIFS(互动记录!$B$5:$B$1004,$A31,互动记录!$C$5:$C$1004,"增值/专项线索"))</f>
        <v/>
      </c>
      <c r="R31" s="10">
        <f>IF($A31="","",客户台账!N6)</f>
        <v/>
      </c>
      <c r="S31" s="10">
        <f>IF($A31="","",SUMIFS(支出记录!$E$5:$E$504,支出记录!$D$5:$D$504,$A31))</f>
        <v/>
      </c>
      <c r="T31" s="10">
        <f>IF(OR($A31="",I31=0),"",(R31-S31)/I31)</f>
        <v/>
      </c>
    </row>
    <row r="32">
      <c r="A32" s="9">
        <f>IF(客户台账!A7="","",客户台账!A7)</f>
        <v/>
      </c>
      <c r="B32" s="9">
        <f>IF($A32="","",客户台账!B7)</f>
        <v/>
      </c>
      <c r="C32" s="9">
        <f>IF($A32="","",客户台账!D7)</f>
        <v/>
      </c>
      <c r="D32" s="9">
        <f>IF($A32="","",客户台账!I7)</f>
        <v/>
      </c>
      <c r="E32" s="10">
        <f>IF(OR($A32="",客户台账!K7="",C32&lt;&gt;"会员线"),"",MAX(1,ROUNDUP((MIN(客户台账!L7,$B$3)-客户台账!K7+1)/7,0)))</f>
        <v/>
      </c>
      <c r="F32" s="16">
        <f>IF($A32="","",SUMIFS(工时记录!$I$5:$I$1004,工时记录!$B$5:$B$1004,$A32,工时记录!$K$5:$K$1004,"一次性")/60)</f>
        <v/>
      </c>
      <c r="G32" s="16">
        <f>IF($A32="","",SUMIFS(工时记录!$I$5:$I$1004,工时记录!$B$5:$B$1004,$A32,工时记录!$K$5:$K$1004,"维护")/60)</f>
        <v/>
      </c>
      <c r="H32" s="16">
        <f>IF($A32="","",SUMIFS(工时记录!$I$5:$I$1004,工时记录!$B$5:$B$1004,$A32,工时记录!$K$5:$K$1004,"专项")/60)</f>
        <v/>
      </c>
      <c r="I32" s="16">
        <f>IF($A32="","",SUMIFS(工时记录!$I$5:$I$1004,工时记录!$B$5:$B$1004,$A32)/60)</f>
        <v/>
      </c>
      <c r="J32" s="16">
        <f>IF(OR($A32="",E32=""),"",G32*60/E32)</f>
        <v/>
      </c>
      <c r="K32" s="10">
        <f>IF($A32="","",COUNTIFS(互动记录!$B$5:$B$1004,$A32,互动记录!$C$5:$C$1004,"老板发送数据"))</f>
        <v/>
      </c>
      <c r="L32" s="17">
        <f>IF(OR($A32="",E32=""),"",MIN(1,K32/E32))</f>
        <v/>
      </c>
      <c r="M32" s="10">
        <f>IF($A32="","",COUNTIFS(互动记录!$B$5:$B$1004,$A32,互动记录!$C$5:$C$1004,"老板主动提问/提需求"))</f>
        <v/>
      </c>
      <c r="N32" s="10">
        <f>IF($A32="","",COUNTIFS(互动记录!$B$5:$B$1004,$A32,互动记录!$C$5:$C$1004,"周报已发送（未修改）")+COUNTIFS(互动记录!$B$5:$B$1004,$A32,互动记录!$C$5:$C$1004,"周报经修改后发送")+COUNTIFS(互动记录!$B$5:$B$1004,$A32,互动记录!$C$5:$C$1004,"周报退回重做"))</f>
        <v/>
      </c>
      <c r="O32" s="17">
        <f>IF(OR($A32="",N32=0),"",(COUNTIFS(互动记录!$B$5:$B$1004,$A32,互动记录!$C$5:$C$1004,"周报经修改后发送")+COUNTIFS(互动记录!$B$5:$B$1004,$A32,互动记录!$C$5:$C$1004,"周报退回重做"))/N32)</f>
        <v/>
      </c>
      <c r="P32" s="10">
        <f>IF($A32="","",COUNTIFS(互动记录!$B$5:$B$1004,$A32,互动记录!$C$5:$C$1004,"建议被采用"))</f>
        <v/>
      </c>
      <c r="Q32" s="10">
        <f>IF($A32="","",COUNTIFS(互动记录!$B$5:$B$1004,$A32,互动记录!$C$5:$C$1004,"增值/专项线索"))</f>
        <v/>
      </c>
      <c r="R32" s="10">
        <f>IF($A32="","",客户台账!N7)</f>
        <v/>
      </c>
      <c r="S32" s="10">
        <f>IF($A32="","",SUMIFS(支出记录!$E$5:$E$504,支出记录!$D$5:$D$504,$A32))</f>
        <v/>
      </c>
      <c r="T32" s="10">
        <f>IF(OR($A32="",I32=0),"",(R32-S32)/I32)</f>
        <v/>
      </c>
    </row>
    <row r="33">
      <c r="A33" s="9">
        <f>IF(客户台账!A8="","",客户台账!A8)</f>
        <v/>
      </c>
      <c r="B33" s="9">
        <f>IF($A33="","",客户台账!B8)</f>
        <v/>
      </c>
      <c r="C33" s="9">
        <f>IF($A33="","",客户台账!D8)</f>
        <v/>
      </c>
      <c r="D33" s="9">
        <f>IF($A33="","",客户台账!I8)</f>
        <v/>
      </c>
      <c r="E33" s="10">
        <f>IF(OR($A33="",客户台账!K8="",C33&lt;&gt;"会员线"),"",MAX(1,ROUNDUP((MIN(客户台账!L8,$B$3)-客户台账!K8+1)/7,0)))</f>
        <v/>
      </c>
      <c r="F33" s="16">
        <f>IF($A33="","",SUMIFS(工时记录!$I$5:$I$1004,工时记录!$B$5:$B$1004,$A33,工时记录!$K$5:$K$1004,"一次性")/60)</f>
        <v/>
      </c>
      <c r="G33" s="16">
        <f>IF($A33="","",SUMIFS(工时记录!$I$5:$I$1004,工时记录!$B$5:$B$1004,$A33,工时记录!$K$5:$K$1004,"维护")/60)</f>
        <v/>
      </c>
      <c r="H33" s="16">
        <f>IF($A33="","",SUMIFS(工时记录!$I$5:$I$1004,工时记录!$B$5:$B$1004,$A33,工时记录!$K$5:$K$1004,"专项")/60)</f>
        <v/>
      </c>
      <c r="I33" s="16">
        <f>IF($A33="","",SUMIFS(工时记录!$I$5:$I$1004,工时记录!$B$5:$B$1004,$A33)/60)</f>
        <v/>
      </c>
      <c r="J33" s="16">
        <f>IF(OR($A33="",E33=""),"",G33*60/E33)</f>
        <v/>
      </c>
      <c r="K33" s="10">
        <f>IF($A33="","",COUNTIFS(互动记录!$B$5:$B$1004,$A33,互动记录!$C$5:$C$1004,"老板发送数据"))</f>
        <v/>
      </c>
      <c r="L33" s="17">
        <f>IF(OR($A33="",E33=""),"",MIN(1,K33/E33))</f>
        <v/>
      </c>
      <c r="M33" s="10">
        <f>IF($A33="","",COUNTIFS(互动记录!$B$5:$B$1004,$A33,互动记录!$C$5:$C$1004,"老板主动提问/提需求"))</f>
        <v/>
      </c>
      <c r="N33" s="10">
        <f>IF($A33="","",COUNTIFS(互动记录!$B$5:$B$1004,$A33,互动记录!$C$5:$C$1004,"周报已发送（未修改）")+COUNTIFS(互动记录!$B$5:$B$1004,$A33,互动记录!$C$5:$C$1004,"周报经修改后发送")+COUNTIFS(互动记录!$B$5:$B$1004,$A33,互动记录!$C$5:$C$1004,"周报退回重做"))</f>
        <v/>
      </c>
      <c r="O33" s="17">
        <f>IF(OR($A33="",N33=0),"",(COUNTIFS(互动记录!$B$5:$B$1004,$A33,互动记录!$C$5:$C$1004,"周报经修改后发送")+COUNTIFS(互动记录!$B$5:$B$1004,$A33,互动记录!$C$5:$C$1004,"周报退回重做"))/N33)</f>
        <v/>
      </c>
      <c r="P33" s="10">
        <f>IF($A33="","",COUNTIFS(互动记录!$B$5:$B$1004,$A33,互动记录!$C$5:$C$1004,"建议被采用"))</f>
        <v/>
      </c>
      <c r="Q33" s="10">
        <f>IF($A33="","",COUNTIFS(互动记录!$B$5:$B$1004,$A33,互动记录!$C$5:$C$1004,"增值/专项线索"))</f>
        <v/>
      </c>
      <c r="R33" s="10">
        <f>IF($A33="","",客户台账!N8)</f>
        <v/>
      </c>
      <c r="S33" s="10">
        <f>IF($A33="","",SUMIFS(支出记录!$E$5:$E$504,支出记录!$D$5:$D$504,$A33))</f>
        <v/>
      </c>
      <c r="T33" s="10">
        <f>IF(OR($A33="",I33=0),"",(R33-S33)/I33)</f>
        <v/>
      </c>
    </row>
    <row r="34">
      <c r="A34" s="9">
        <f>IF(客户台账!A9="","",客户台账!A9)</f>
        <v/>
      </c>
      <c r="B34" s="9">
        <f>IF($A34="","",客户台账!B9)</f>
        <v/>
      </c>
      <c r="C34" s="9">
        <f>IF($A34="","",客户台账!D9)</f>
        <v/>
      </c>
      <c r="D34" s="9">
        <f>IF($A34="","",客户台账!I9)</f>
        <v/>
      </c>
      <c r="E34" s="10">
        <f>IF(OR($A34="",客户台账!K9="",C34&lt;&gt;"会员线"),"",MAX(1,ROUNDUP((MIN(客户台账!L9,$B$3)-客户台账!K9+1)/7,0)))</f>
        <v/>
      </c>
      <c r="F34" s="16">
        <f>IF($A34="","",SUMIFS(工时记录!$I$5:$I$1004,工时记录!$B$5:$B$1004,$A34,工时记录!$K$5:$K$1004,"一次性")/60)</f>
        <v/>
      </c>
      <c r="G34" s="16">
        <f>IF($A34="","",SUMIFS(工时记录!$I$5:$I$1004,工时记录!$B$5:$B$1004,$A34,工时记录!$K$5:$K$1004,"维护")/60)</f>
        <v/>
      </c>
      <c r="H34" s="16">
        <f>IF($A34="","",SUMIFS(工时记录!$I$5:$I$1004,工时记录!$B$5:$B$1004,$A34,工时记录!$K$5:$K$1004,"专项")/60)</f>
        <v/>
      </c>
      <c r="I34" s="16">
        <f>IF($A34="","",SUMIFS(工时记录!$I$5:$I$1004,工时记录!$B$5:$B$1004,$A34)/60)</f>
        <v/>
      </c>
      <c r="J34" s="16">
        <f>IF(OR($A34="",E34=""),"",G34*60/E34)</f>
        <v/>
      </c>
      <c r="K34" s="10">
        <f>IF($A34="","",COUNTIFS(互动记录!$B$5:$B$1004,$A34,互动记录!$C$5:$C$1004,"老板发送数据"))</f>
        <v/>
      </c>
      <c r="L34" s="17">
        <f>IF(OR($A34="",E34=""),"",MIN(1,K34/E34))</f>
        <v/>
      </c>
      <c r="M34" s="10">
        <f>IF($A34="","",COUNTIFS(互动记录!$B$5:$B$1004,$A34,互动记录!$C$5:$C$1004,"老板主动提问/提需求"))</f>
        <v/>
      </c>
      <c r="N34" s="10">
        <f>IF($A34="","",COUNTIFS(互动记录!$B$5:$B$1004,$A34,互动记录!$C$5:$C$1004,"周报已发送（未修改）")+COUNTIFS(互动记录!$B$5:$B$1004,$A34,互动记录!$C$5:$C$1004,"周报经修改后发送")+COUNTIFS(互动记录!$B$5:$B$1004,$A34,互动记录!$C$5:$C$1004,"周报退回重做"))</f>
        <v/>
      </c>
      <c r="O34" s="17">
        <f>IF(OR($A34="",N34=0),"",(COUNTIFS(互动记录!$B$5:$B$1004,$A34,互动记录!$C$5:$C$1004,"周报经修改后发送")+COUNTIFS(互动记录!$B$5:$B$1004,$A34,互动记录!$C$5:$C$1004,"周报退回重做"))/N34)</f>
        <v/>
      </c>
      <c r="P34" s="10">
        <f>IF($A34="","",COUNTIFS(互动记录!$B$5:$B$1004,$A34,互动记录!$C$5:$C$1004,"建议被采用"))</f>
        <v/>
      </c>
      <c r="Q34" s="10">
        <f>IF($A34="","",COUNTIFS(互动记录!$B$5:$B$1004,$A34,互动记录!$C$5:$C$1004,"增值/专项线索"))</f>
        <v/>
      </c>
      <c r="R34" s="10">
        <f>IF($A34="","",客户台账!N9)</f>
        <v/>
      </c>
      <c r="S34" s="10">
        <f>IF($A34="","",SUMIFS(支出记录!$E$5:$E$504,支出记录!$D$5:$D$504,$A34))</f>
        <v/>
      </c>
      <c r="T34" s="10">
        <f>IF(OR($A34="",I34=0),"",(R34-S34)/I34)</f>
        <v/>
      </c>
    </row>
    <row r="35">
      <c r="A35" s="9">
        <f>IF(客户台账!A10="","",客户台账!A10)</f>
        <v/>
      </c>
      <c r="B35" s="9">
        <f>IF($A35="","",客户台账!B10)</f>
        <v/>
      </c>
      <c r="C35" s="9">
        <f>IF($A35="","",客户台账!D10)</f>
        <v/>
      </c>
      <c r="D35" s="9">
        <f>IF($A35="","",客户台账!I10)</f>
        <v/>
      </c>
      <c r="E35" s="10">
        <f>IF(OR($A35="",客户台账!K10="",C35&lt;&gt;"会员线"),"",MAX(1,ROUNDUP((MIN(客户台账!L10,$B$3)-客户台账!K10+1)/7,0)))</f>
        <v/>
      </c>
      <c r="F35" s="16">
        <f>IF($A35="","",SUMIFS(工时记录!$I$5:$I$1004,工时记录!$B$5:$B$1004,$A35,工时记录!$K$5:$K$1004,"一次性")/60)</f>
        <v/>
      </c>
      <c r="G35" s="16">
        <f>IF($A35="","",SUMIFS(工时记录!$I$5:$I$1004,工时记录!$B$5:$B$1004,$A35,工时记录!$K$5:$K$1004,"维护")/60)</f>
        <v/>
      </c>
      <c r="H35" s="16">
        <f>IF($A35="","",SUMIFS(工时记录!$I$5:$I$1004,工时记录!$B$5:$B$1004,$A35,工时记录!$K$5:$K$1004,"专项")/60)</f>
        <v/>
      </c>
      <c r="I35" s="16">
        <f>IF($A35="","",SUMIFS(工时记录!$I$5:$I$1004,工时记录!$B$5:$B$1004,$A35)/60)</f>
        <v/>
      </c>
      <c r="J35" s="16">
        <f>IF(OR($A35="",E35=""),"",G35*60/E35)</f>
        <v/>
      </c>
      <c r="K35" s="10">
        <f>IF($A35="","",COUNTIFS(互动记录!$B$5:$B$1004,$A35,互动记录!$C$5:$C$1004,"老板发送数据"))</f>
        <v/>
      </c>
      <c r="L35" s="17">
        <f>IF(OR($A35="",E35=""),"",MIN(1,K35/E35))</f>
        <v/>
      </c>
      <c r="M35" s="10">
        <f>IF($A35="","",COUNTIFS(互动记录!$B$5:$B$1004,$A35,互动记录!$C$5:$C$1004,"老板主动提问/提需求"))</f>
        <v/>
      </c>
      <c r="N35" s="10">
        <f>IF($A35="","",COUNTIFS(互动记录!$B$5:$B$1004,$A35,互动记录!$C$5:$C$1004,"周报已发送（未修改）")+COUNTIFS(互动记录!$B$5:$B$1004,$A35,互动记录!$C$5:$C$1004,"周报经修改后发送")+COUNTIFS(互动记录!$B$5:$B$1004,$A35,互动记录!$C$5:$C$1004,"周报退回重做"))</f>
        <v/>
      </c>
      <c r="O35" s="17">
        <f>IF(OR($A35="",N35=0),"",(COUNTIFS(互动记录!$B$5:$B$1004,$A35,互动记录!$C$5:$C$1004,"周报经修改后发送")+COUNTIFS(互动记录!$B$5:$B$1004,$A35,互动记录!$C$5:$C$1004,"周报退回重做"))/N35)</f>
        <v/>
      </c>
      <c r="P35" s="10">
        <f>IF($A35="","",COUNTIFS(互动记录!$B$5:$B$1004,$A35,互动记录!$C$5:$C$1004,"建议被采用"))</f>
        <v/>
      </c>
      <c r="Q35" s="10">
        <f>IF($A35="","",COUNTIFS(互动记录!$B$5:$B$1004,$A35,互动记录!$C$5:$C$1004,"增值/专项线索"))</f>
        <v/>
      </c>
      <c r="R35" s="10">
        <f>IF($A35="","",客户台账!N10)</f>
        <v/>
      </c>
      <c r="S35" s="10">
        <f>IF($A35="","",SUMIFS(支出记录!$E$5:$E$504,支出记录!$D$5:$D$504,$A35))</f>
        <v/>
      </c>
      <c r="T35" s="10">
        <f>IF(OR($A35="",I35=0),"",(R35-S35)/I35)</f>
        <v/>
      </c>
    </row>
    <row r="36">
      <c r="A36" s="9">
        <f>IF(客户台账!A11="","",客户台账!A11)</f>
        <v/>
      </c>
      <c r="B36" s="9">
        <f>IF($A36="","",客户台账!B11)</f>
        <v/>
      </c>
      <c r="C36" s="9">
        <f>IF($A36="","",客户台账!D11)</f>
        <v/>
      </c>
      <c r="D36" s="9">
        <f>IF($A36="","",客户台账!I11)</f>
        <v/>
      </c>
      <c r="E36" s="10">
        <f>IF(OR($A36="",客户台账!K11="",C36&lt;&gt;"会员线"),"",MAX(1,ROUNDUP((MIN(客户台账!L11,$B$3)-客户台账!K11+1)/7,0)))</f>
        <v/>
      </c>
      <c r="F36" s="16">
        <f>IF($A36="","",SUMIFS(工时记录!$I$5:$I$1004,工时记录!$B$5:$B$1004,$A36,工时记录!$K$5:$K$1004,"一次性")/60)</f>
        <v/>
      </c>
      <c r="G36" s="16">
        <f>IF($A36="","",SUMIFS(工时记录!$I$5:$I$1004,工时记录!$B$5:$B$1004,$A36,工时记录!$K$5:$K$1004,"维护")/60)</f>
        <v/>
      </c>
      <c r="H36" s="16">
        <f>IF($A36="","",SUMIFS(工时记录!$I$5:$I$1004,工时记录!$B$5:$B$1004,$A36,工时记录!$K$5:$K$1004,"专项")/60)</f>
        <v/>
      </c>
      <c r="I36" s="16">
        <f>IF($A36="","",SUMIFS(工时记录!$I$5:$I$1004,工时记录!$B$5:$B$1004,$A36)/60)</f>
        <v/>
      </c>
      <c r="J36" s="16">
        <f>IF(OR($A36="",E36=""),"",G36*60/E36)</f>
        <v/>
      </c>
      <c r="K36" s="10">
        <f>IF($A36="","",COUNTIFS(互动记录!$B$5:$B$1004,$A36,互动记录!$C$5:$C$1004,"老板发送数据"))</f>
        <v/>
      </c>
      <c r="L36" s="17">
        <f>IF(OR($A36="",E36=""),"",MIN(1,K36/E36))</f>
        <v/>
      </c>
      <c r="M36" s="10">
        <f>IF($A36="","",COUNTIFS(互动记录!$B$5:$B$1004,$A36,互动记录!$C$5:$C$1004,"老板主动提问/提需求"))</f>
        <v/>
      </c>
      <c r="N36" s="10">
        <f>IF($A36="","",COUNTIFS(互动记录!$B$5:$B$1004,$A36,互动记录!$C$5:$C$1004,"周报已发送（未修改）")+COUNTIFS(互动记录!$B$5:$B$1004,$A36,互动记录!$C$5:$C$1004,"周报经修改后发送")+COUNTIFS(互动记录!$B$5:$B$1004,$A36,互动记录!$C$5:$C$1004,"周报退回重做"))</f>
        <v/>
      </c>
      <c r="O36" s="17">
        <f>IF(OR($A36="",N36=0),"",(COUNTIFS(互动记录!$B$5:$B$1004,$A36,互动记录!$C$5:$C$1004,"周报经修改后发送")+COUNTIFS(互动记录!$B$5:$B$1004,$A36,互动记录!$C$5:$C$1004,"周报退回重做"))/N36)</f>
        <v/>
      </c>
      <c r="P36" s="10">
        <f>IF($A36="","",COUNTIFS(互动记录!$B$5:$B$1004,$A36,互动记录!$C$5:$C$1004,"建议被采用"))</f>
        <v/>
      </c>
      <c r="Q36" s="10">
        <f>IF($A36="","",COUNTIFS(互动记录!$B$5:$B$1004,$A36,互动记录!$C$5:$C$1004,"增值/专项线索"))</f>
        <v/>
      </c>
      <c r="R36" s="10">
        <f>IF($A36="","",客户台账!N11)</f>
        <v/>
      </c>
      <c r="S36" s="10">
        <f>IF($A36="","",SUMIFS(支出记录!$E$5:$E$504,支出记录!$D$5:$D$504,$A36))</f>
        <v/>
      </c>
      <c r="T36" s="10">
        <f>IF(OR($A36="",I36=0),"",(R36-S36)/I36)</f>
        <v/>
      </c>
    </row>
    <row r="37">
      <c r="A37" s="9">
        <f>IF(客户台账!A12="","",客户台账!A12)</f>
        <v/>
      </c>
      <c r="B37" s="9">
        <f>IF($A37="","",客户台账!B12)</f>
        <v/>
      </c>
      <c r="C37" s="9">
        <f>IF($A37="","",客户台账!D12)</f>
        <v/>
      </c>
      <c r="D37" s="9">
        <f>IF($A37="","",客户台账!I12)</f>
        <v/>
      </c>
      <c r="E37" s="10">
        <f>IF(OR($A37="",客户台账!K12="",C37&lt;&gt;"会员线"),"",MAX(1,ROUNDUP((MIN(客户台账!L12,$B$3)-客户台账!K12+1)/7,0)))</f>
        <v/>
      </c>
      <c r="F37" s="16">
        <f>IF($A37="","",SUMIFS(工时记录!$I$5:$I$1004,工时记录!$B$5:$B$1004,$A37,工时记录!$K$5:$K$1004,"一次性")/60)</f>
        <v/>
      </c>
      <c r="G37" s="16">
        <f>IF($A37="","",SUMIFS(工时记录!$I$5:$I$1004,工时记录!$B$5:$B$1004,$A37,工时记录!$K$5:$K$1004,"维护")/60)</f>
        <v/>
      </c>
      <c r="H37" s="16">
        <f>IF($A37="","",SUMIFS(工时记录!$I$5:$I$1004,工时记录!$B$5:$B$1004,$A37,工时记录!$K$5:$K$1004,"专项")/60)</f>
        <v/>
      </c>
      <c r="I37" s="16">
        <f>IF($A37="","",SUMIFS(工时记录!$I$5:$I$1004,工时记录!$B$5:$B$1004,$A37)/60)</f>
        <v/>
      </c>
      <c r="J37" s="16">
        <f>IF(OR($A37="",E37=""),"",G37*60/E37)</f>
        <v/>
      </c>
      <c r="K37" s="10">
        <f>IF($A37="","",COUNTIFS(互动记录!$B$5:$B$1004,$A37,互动记录!$C$5:$C$1004,"老板发送数据"))</f>
        <v/>
      </c>
      <c r="L37" s="17">
        <f>IF(OR($A37="",E37=""),"",MIN(1,K37/E37))</f>
        <v/>
      </c>
      <c r="M37" s="10">
        <f>IF($A37="","",COUNTIFS(互动记录!$B$5:$B$1004,$A37,互动记录!$C$5:$C$1004,"老板主动提问/提需求"))</f>
        <v/>
      </c>
      <c r="N37" s="10">
        <f>IF($A37="","",COUNTIFS(互动记录!$B$5:$B$1004,$A37,互动记录!$C$5:$C$1004,"周报已发送（未修改）")+COUNTIFS(互动记录!$B$5:$B$1004,$A37,互动记录!$C$5:$C$1004,"周报经修改后发送")+COUNTIFS(互动记录!$B$5:$B$1004,$A37,互动记录!$C$5:$C$1004,"周报退回重做"))</f>
        <v/>
      </c>
      <c r="O37" s="17">
        <f>IF(OR($A37="",N37=0),"",(COUNTIFS(互动记录!$B$5:$B$1004,$A37,互动记录!$C$5:$C$1004,"周报经修改后发送")+COUNTIFS(互动记录!$B$5:$B$1004,$A37,互动记录!$C$5:$C$1004,"周报退回重做"))/N37)</f>
        <v/>
      </c>
      <c r="P37" s="10">
        <f>IF($A37="","",COUNTIFS(互动记录!$B$5:$B$1004,$A37,互动记录!$C$5:$C$1004,"建议被采用"))</f>
        <v/>
      </c>
      <c r="Q37" s="10">
        <f>IF($A37="","",COUNTIFS(互动记录!$B$5:$B$1004,$A37,互动记录!$C$5:$C$1004,"增值/专项线索"))</f>
        <v/>
      </c>
      <c r="R37" s="10">
        <f>IF($A37="","",客户台账!N12)</f>
        <v/>
      </c>
      <c r="S37" s="10">
        <f>IF($A37="","",SUMIFS(支出记录!$E$5:$E$504,支出记录!$D$5:$D$504,$A37))</f>
        <v/>
      </c>
      <c r="T37" s="10">
        <f>IF(OR($A37="",I37=0),"",(R37-S37)/I37)</f>
        <v/>
      </c>
    </row>
    <row r="38">
      <c r="A38" s="9">
        <f>IF(客户台账!A13="","",客户台账!A13)</f>
        <v/>
      </c>
      <c r="B38" s="9">
        <f>IF($A38="","",客户台账!B13)</f>
        <v/>
      </c>
      <c r="C38" s="9">
        <f>IF($A38="","",客户台账!D13)</f>
        <v/>
      </c>
      <c r="D38" s="9">
        <f>IF($A38="","",客户台账!I13)</f>
        <v/>
      </c>
      <c r="E38" s="10">
        <f>IF(OR($A38="",客户台账!K13="",C38&lt;&gt;"会员线"),"",MAX(1,ROUNDUP((MIN(客户台账!L13,$B$3)-客户台账!K13+1)/7,0)))</f>
        <v/>
      </c>
      <c r="F38" s="16">
        <f>IF($A38="","",SUMIFS(工时记录!$I$5:$I$1004,工时记录!$B$5:$B$1004,$A38,工时记录!$K$5:$K$1004,"一次性")/60)</f>
        <v/>
      </c>
      <c r="G38" s="16">
        <f>IF($A38="","",SUMIFS(工时记录!$I$5:$I$1004,工时记录!$B$5:$B$1004,$A38,工时记录!$K$5:$K$1004,"维护")/60)</f>
        <v/>
      </c>
      <c r="H38" s="16">
        <f>IF($A38="","",SUMIFS(工时记录!$I$5:$I$1004,工时记录!$B$5:$B$1004,$A38,工时记录!$K$5:$K$1004,"专项")/60)</f>
        <v/>
      </c>
      <c r="I38" s="16">
        <f>IF($A38="","",SUMIFS(工时记录!$I$5:$I$1004,工时记录!$B$5:$B$1004,$A38)/60)</f>
        <v/>
      </c>
      <c r="J38" s="16">
        <f>IF(OR($A38="",E38=""),"",G38*60/E38)</f>
        <v/>
      </c>
      <c r="K38" s="10">
        <f>IF($A38="","",COUNTIFS(互动记录!$B$5:$B$1004,$A38,互动记录!$C$5:$C$1004,"老板发送数据"))</f>
        <v/>
      </c>
      <c r="L38" s="17">
        <f>IF(OR($A38="",E38=""),"",MIN(1,K38/E38))</f>
        <v/>
      </c>
      <c r="M38" s="10">
        <f>IF($A38="","",COUNTIFS(互动记录!$B$5:$B$1004,$A38,互动记录!$C$5:$C$1004,"老板主动提问/提需求"))</f>
        <v/>
      </c>
      <c r="N38" s="10">
        <f>IF($A38="","",COUNTIFS(互动记录!$B$5:$B$1004,$A38,互动记录!$C$5:$C$1004,"周报已发送（未修改）")+COUNTIFS(互动记录!$B$5:$B$1004,$A38,互动记录!$C$5:$C$1004,"周报经修改后发送")+COUNTIFS(互动记录!$B$5:$B$1004,$A38,互动记录!$C$5:$C$1004,"周报退回重做"))</f>
        <v/>
      </c>
      <c r="O38" s="17">
        <f>IF(OR($A38="",N38=0),"",(COUNTIFS(互动记录!$B$5:$B$1004,$A38,互动记录!$C$5:$C$1004,"周报经修改后发送")+COUNTIFS(互动记录!$B$5:$B$1004,$A38,互动记录!$C$5:$C$1004,"周报退回重做"))/N38)</f>
        <v/>
      </c>
      <c r="P38" s="10">
        <f>IF($A38="","",COUNTIFS(互动记录!$B$5:$B$1004,$A38,互动记录!$C$5:$C$1004,"建议被采用"))</f>
        <v/>
      </c>
      <c r="Q38" s="10">
        <f>IF($A38="","",COUNTIFS(互动记录!$B$5:$B$1004,$A38,互动记录!$C$5:$C$1004,"增值/专项线索"))</f>
        <v/>
      </c>
      <c r="R38" s="10">
        <f>IF($A38="","",客户台账!N13)</f>
        <v/>
      </c>
      <c r="S38" s="10">
        <f>IF($A38="","",SUMIFS(支出记录!$E$5:$E$504,支出记录!$D$5:$D$504,$A38))</f>
        <v/>
      </c>
      <c r="T38" s="10">
        <f>IF(OR($A38="",I38=0),"",(R38-S38)/I38)</f>
        <v/>
      </c>
    </row>
    <row r="39">
      <c r="A39" s="9">
        <f>IF(客户台账!A14="","",客户台账!A14)</f>
        <v/>
      </c>
      <c r="B39" s="9">
        <f>IF($A39="","",客户台账!B14)</f>
        <v/>
      </c>
      <c r="C39" s="9">
        <f>IF($A39="","",客户台账!D14)</f>
        <v/>
      </c>
      <c r="D39" s="9">
        <f>IF($A39="","",客户台账!I14)</f>
        <v/>
      </c>
      <c r="E39" s="10">
        <f>IF(OR($A39="",客户台账!K14="",C39&lt;&gt;"会员线"),"",MAX(1,ROUNDUP((MIN(客户台账!L14,$B$3)-客户台账!K14+1)/7,0)))</f>
        <v/>
      </c>
      <c r="F39" s="16">
        <f>IF($A39="","",SUMIFS(工时记录!$I$5:$I$1004,工时记录!$B$5:$B$1004,$A39,工时记录!$K$5:$K$1004,"一次性")/60)</f>
        <v/>
      </c>
      <c r="G39" s="16">
        <f>IF($A39="","",SUMIFS(工时记录!$I$5:$I$1004,工时记录!$B$5:$B$1004,$A39,工时记录!$K$5:$K$1004,"维护")/60)</f>
        <v/>
      </c>
      <c r="H39" s="16">
        <f>IF($A39="","",SUMIFS(工时记录!$I$5:$I$1004,工时记录!$B$5:$B$1004,$A39,工时记录!$K$5:$K$1004,"专项")/60)</f>
        <v/>
      </c>
      <c r="I39" s="16">
        <f>IF($A39="","",SUMIFS(工时记录!$I$5:$I$1004,工时记录!$B$5:$B$1004,$A39)/60)</f>
        <v/>
      </c>
      <c r="J39" s="16">
        <f>IF(OR($A39="",E39=""),"",G39*60/E39)</f>
        <v/>
      </c>
      <c r="K39" s="10">
        <f>IF($A39="","",COUNTIFS(互动记录!$B$5:$B$1004,$A39,互动记录!$C$5:$C$1004,"老板发送数据"))</f>
        <v/>
      </c>
      <c r="L39" s="17">
        <f>IF(OR($A39="",E39=""),"",MIN(1,K39/E39))</f>
        <v/>
      </c>
      <c r="M39" s="10">
        <f>IF($A39="","",COUNTIFS(互动记录!$B$5:$B$1004,$A39,互动记录!$C$5:$C$1004,"老板主动提问/提需求"))</f>
        <v/>
      </c>
      <c r="N39" s="10">
        <f>IF($A39="","",COUNTIFS(互动记录!$B$5:$B$1004,$A39,互动记录!$C$5:$C$1004,"周报已发送（未修改）")+COUNTIFS(互动记录!$B$5:$B$1004,$A39,互动记录!$C$5:$C$1004,"周报经修改后发送")+COUNTIFS(互动记录!$B$5:$B$1004,$A39,互动记录!$C$5:$C$1004,"周报退回重做"))</f>
        <v/>
      </c>
      <c r="O39" s="17">
        <f>IF(OR($A39="",N39=0),"",(COUNTIFS(互动记录!$B$5:$B$1004,$A39,互动记录!$C$5:$C$1004,"周报经修改后发送")+COUNTIFS(互动记录!$B$5:$B$1004,$A39,互动记录!$C$5:$C$1004,"周报退回重做"))/N39)</f>
        <v/>
      </c>
      <c r="P39" s="10">
        <f>IF($A39="","",COUNTIFS(互动记录!$B$5:$B$1004,$A39,互动记录!$C$5:$C$1004,"建议被采用"))</f>
        <v/>
      </c>
      <c r="Q39" s="10">
        <f>IF($A39="","",COUNTIFS(互动记录!$B$5:$B$1004,$A39,互动记录!$C$5:$C$1004,"增值/专项线索"))</f>
        <v/>
      </c>
      <c r="R39" s="10">
        <f>IF($A39="","",客户台账!N14)</f>
        <v/>
      </c>
      <c r="S39" s="10">
        <f>IF($A39="","",SUMIFS(支出记录!$E$5:$E$504,支出记录!$D$5:$D$504,$A39))</f>
        <v/>
      </c>
      <c r="T39" s="10">
        <f>IF(OR($A39="",I39=0),"",(R39-S39)/I39)</f>
        <v/>
      </c>
    </row>
    <row r="40">
      <c r="A40" s="9">
        <f>IF(客户台账!A15="","",客户台账!A15)</f>
        <v/>
      </c>
      <c r="B40" s="9">
        <f>IF($A40="","",客户台账!B15)</f>
        <v/>
      </c>
      <c r="C40" s="9">
        <f>IF($A40="","",客户台账!D15)</f>
        <v/>
      </c>
      <c r="D40" s="9">
        <f>IF($A40="","",客户台账!I15)</f>
        <v/>
      </c>
      <c r="E40" s="10">
        <f>IF(OR($A40="",客户台账!K15="",C40&lt;&gt;"会员线"),"",MAX(1,ROUNDUP((MIN(客户台账!L15,$B$3)-客户台账!K15+1)/7,0)))</f>
        <v/>
      </c>
      <c r="F40" s="16">
        <f>IF($A40="","",SUMIFS(工时记录!$I$5:$I$1004,工时记录!$B$5:$B$1004,$A40,工时记录!$K$5:$K$1004,"一次性")/60)</f>
        <v/>
      </c>
      <c r="G40" s="16">
        <f>IF($A40="","",SUMIFS(工时记录!$I$5:$I$1004,工时记录!$B$5:$B$1004,$A40,工时记录!$K$5:$K$1004,"维护")/60)</f>
        <v/>
      </c>
      <c r="H40" s="16">
        <f>IF($A40="","",SUMIFS(工时记录!$I$5:$I$1004,工时记录!$B$5:$B$1004,$A40,工时记录!$K$5:$K$1004,"专项")/60)</f>
        <v/>
      </c>
      <c r="I40" s="16">
        <f>IF($A40="","",SUMIFS(工时记录!$I$5:$I$1004,工时记录!$B$5:$B$1004,$A40)/60)</f>
        <v/>
      </c>
      <c r="J40" s="16">
        <f>IF(OR($A40="",E40=""),"",G40*60/E40)</f>
        <v/>
      </c>
      <c r="K40" s="10">
        <f>IF($A40="","",COUNTIFS(互动记录!$B$5:$B$1004,$A40,互动记录!$C$5:$C$1004,"老板发送数据"))</f>
        <v/>
      </c>
      <c r="L40" s="17">
        <f>IF(OR($A40="",E40=""),"",MIN(1,K40/E40))</f>
        <v/>
      </c>
      <c r="M40" s="10">
        <f>IF($A40="","",COUNTIFS(互动记录!$B$5:$B$1004,$A40,互动记录!$C$5:$C$1004,"老板主动提问/提需求"))</f>
        <v/>
      </c>
      <c r="N40" s="10">
        <f>IF($A40="","",COUNTIFS(互动记录!$B$5:$B$1004,$A40,互动记录!$C$5:$C$1004,"周报已发送（未修改）")+COUNTIFS(互动记录!$B$5:$B$1004,$A40,互动记录!$C$5:$C$1004,"周报经修改后发送")+COUNTIFS(互动记录!$B$5:$B$1004,$A40,互动记录!$C$5:$C$1004,"周报退回重做"))</f>
        <v/>
      </c>
      <c r="O40" s="17">
        <f>IF(OR($A40="",N40=0),"",(COUNTIFS(互动记录!$B$5:$B$1004,$A40,互动记录!$C$5:$C$1004,"周报经修改后发送")+COUNTIFS(互动记录!$B$5:$B$1004,$A40,互动记录!$C$5:$C$1004,"周报退回重做"))/N40)</f>
        <v/>
      </c>
      <c r="P40" s="10">
        <f>IF($A40="","",COUNTIFS(互动记录!$B$5:$B$1004,$A40,互动记录!$C$5:$C$1004,"建议被采用"))</f>
        <v/>
      </c>
      <c r="Q40" s="10">
        <f>IF($A40="","",COUNTIFS(互动记录!$B$5:$B$1004,$A40,互动记录!$C$5:$C$1004,"增值/专项线索"))</f>
        <v/>
      </c>
      <c r="R40" s="10">
        <f>IF($A40="","",客户台账!N15)</f>
        <v/>
      </c>
      <c r="S40" s="10">
        <f>IF($A40="","",SUMIFS(支出记录!$E$5:$E$504,支出记录!$D$5:$D$504,$A40))</f>
        <v/>
      </c>
      <c r="T40" s="10">
        <f>IF(OR($A40="",I40=0),"",(R40-S40)/I40)</f>
        <v/>
      </c>
    </row>
    <row r="41">
      <c r="A41" s="9">
        <f>IF(客户台账!A16="","",客户台账!A16)</f>
        <v/>
      </c>
      <c r="B41" s="9">
        <f>IF($A41="","",客户台账!B16)</f>
        <v/>
      </c>
      <c r="C41" s="9">
        <f>IF($A41="","",客户台账!D16)</f>
        <v/>
      </c>
      <c r="D41" s="9">
        <f>IF($A41="","",客户台账!I16)</f>
        <v/>
      </c>
      <c r="E41" s="10">
        <f>IF(OR($A41="",客户台账!K16="",C41&lt;&gt;"会员线"),"",MAX(1,ROUNDUP((MIN(客户台账!L16,$B$3)-客户台账!K16+1)/7,0)))</f>
        <v/>
      </c>
      <c r="F41" s="16">
        <f>IF($A41="","",SUMIFS(工时记录!$I$5:$I$1004,工时记录!$B$5:$B$1004,$A41,工时记录!$K$5:$K$1004,"一次性")/60)</f>
        <v/>
      </c>
      <c r="G41" s="16">
        <f>IF($A41="","",SUMIFS(工时记录!$I$5:$I$1004,工时记录!$B$5:$B$1004,$A41,工时记录!$K$5:$K$1004,"维护")/60)</f>
        <v/>
      </c>
      <c r="H41" s="16">
        <f>IF($A41="","",SUMIFS(工时记录!$I$5:$I$1004,工时记录!$B$5:$B$1004,$A41,工时记录!$K$5:$K$1004,"专项")/60)</f>
        <v/>
      </c>
      <c r="I41" s="16">
        <f>IF($A41="","",SUMIFS(工时记录!$I$5:$I$1004,工时记录!$B$5:$B$1004,$A41)/60)</f>
        <v/>
      </c>
      <c r="J41" s="16">
        <f>IF(OR($A41="",E41=""),"",G41*60/E41)</f>
        <v/>
      </c>
      <c r="K41" s="10">
        <f>IF($A41="","",COUNTIFS(互动记录!$B$5:$B$1004,$A41,互动记录!$C$5:$C$1004,"老板发送数据"))</f>
        <v/>
      </c>
      <c r="L41" s="17">
        <f>IF(OR($A41="",E41=""),"",MIN(1,K41/E41))</f>
        <v/>
      </c>
      <c r="M41" s="10">
        <f>IF($A41="","",COUNTIFS(互动记录!$B$5:$B$1004,$A41,互动记录!$C$5:$C$1004,"老板主动提问/提需求"))</f>
        <v/>
      </c>
      <c r="N41" s="10">
        <f>IF($A41="","",COUNTIFS(互动记录!$B$5:$B$1004,$A41,互动记录!$C$5:$C$1004,"周报已发送（未修改）")+COUNTIFS(互动记录!$B$5:$B$1004,$A41,互动记录!$C$5:$C$1004,"周报经修改后发送")+COUNTIFS(互动记录!$B$5:$B$1004,$A41,互动记录!$C$5:$C$1004,"周报退回重做"))</f>
        <v/>
      </c>
      <c r="O41" s="17">
        <f>IF(OR($A41="",N41=0),"",(COUNTIFS(互动记录!$B$5:$B$1004,$A41,互动记录!$C$5:$C$1004,"周报经修改后发送")+COUNTIFS(互动记录!$B$5:$B$1004,$A41,互动记录!$C$5:$C$1004,"周报退回重做"))/N41)</f>
        <v/>
      </c>
      <c r="P41" s="10">
        <f>IF($A41="","",COUNTIFS(互动记录!$B$5:$B$1004,$A41,互动记录!$C$5:$C$1004,"建议被采用"))</f>
        <v/>
      </c>
      <c r="Q41" s="10">
        <f>IF($A41="","",COUNTIFS(互动记录!$B$5:$B$1004,$A41,互动记录!$C$5:$C$1004,"增值/专项线索"))</f>
        <v/>
      </c>
      <c r="R41" s="10">
        <f>IF($A41="","",客户台账!N16)</f>
        <v/>
      </c>
      <c r="S41" s="10">
        <f>IF($A41="","",SUMIFS(支出记录!$E$5:$E$504,支出记录!$D$5:$D$504,$A41))</f>
        <v/>
      </c>
      <c r="T41" s="10">
        <f>IF(OR($A41="",I41=0),"",(R41-S41)/I41)</f>
        <v/>
      </c>
    </row>
    <row r="42">
      <c r="A42" s="9">
        <f>IF(客户台账!A17="","",客户台账!A17)</f>
        <v/>
      </c>
      <c r="B42" s="9">
        <f>IF($A42="","",客户台账!B17)</f>
        <v/>
      </c>
      <c r="C42" s="9">
        <f>IF($A42="","",客户台账!D17)</f>
        <v/>
      </c>
      <c r="D42" s="9">
        <f>IF($A42="","",客户台账!I17)</f>
        <v/>
      </c>
      <c r="E42" s="10">
        <f>IF(OR($A42="",客户台账!K17="",C42&lt;&gt;"会员线"),"",MAX(1,ROUNDUP((MIN(客户台账!L17,$B$3)-客户台账!K17+1)/7,0)))</f>
        <v/>
      </c>
      <c r="F42" s="16">
        <f>IF($A42="","",SUMIFS(工时记录!$I$5:$I$1004,工时记录!$B$5:$B$1004,$A42,工时记录!$K$5:$K$1004,"一次性")/60)</f>
        <v/>
      </c>
      <c r="G42" s="16">
        <f>IF($A42="","",SUMIFS(工时记录!$I$5:$I$1004,工时记录!$B$5:$B$1004,$A42,工时记录!$K$5:$K$1004,"维护")/60)</f>
        <v/>
      </c>
      <c r="H42" s="16">
        <f>IF($A42="","",SUMIFS(工时记录!$I$5:$I$1004,工时记录!$B$5:$B$1004,$A42,工时记录!$K$5:$K$1004,"专项")/60)</f>
        <v/>
      </c>
      <c r="I42" s="16">
        <f>IF($A42="","",SUMIFS(工时记录!$I$5:$I$1004,工时记录!$B$5:$B$1004,$A42)/60)</f>
        <v/>
      </c>
      <c r="J42" s="16">
        <f>IF(OR($A42="",E42=""),"",G42*60/E42)</f>
        <v/>
      </c>
      <c r="K42" s="10">
        <f>IF($A42="","",COUNTIFS(互动记录!$B$5:$B$1004,$A42,互动记录!$C$5:$C$1004,"老板发送数据"))</f>
        <v/>
      </c>
      <c r="L42" s="17">
        <f>IF(OR($A42="",E42=""),"",MIN(1,K42/E42))</f>
        <v/>
      </c>
      <c r="M42" s="10">
        <f>IF($A42="","",COUNTIFS(互动记录!$B$5:$B$1004,$A42,互动记录!$C$5:$C$1004,"老板主动提问/提需求"))</f>
        <v/>
      </c>
      <c r="N42" s="10">
        <f>IF($A42="","",COUNTIFS(互动记录!$B$5:$B$1004,$A42,互动记录!$C$5:$C$1004,"周报已发送（未修改）")+COUNTIFS(互动记录!$B$5:$B$1004,$A42,互动记录!$C$5:$C$1004,"周报经修改后发送")+COUNTIFS(互动记录!$B$5:$B$1004,$A42,互动记录!$C$5:$C$1004,"周报退回重做"))</f>
        <v/>
      </c>
      <c r="O42" s="17">
        <f>IF(OR($A42="",N42=0),"",(COUNTIFS(互动记录!$B$5:$B$1004,$A42,互动记录!$C$5:$C$1004,"周报经修改后发送")+COUNTIFS(互动记录!$B$5:$B$1004,$A42,互动记录!$C$5:$C$1004,"周报退回重做"))/N42)</f>
        <v/>
      </c>
      <c r="P42" s="10">
        <f>IF($A42="","",COUNTIFS(互动记录!$B$5:$B$1004,$A42,互动记录!$C$5:$C$1004,"建议被采用"))</f>
        <v/>
      </c>
      <c r="Q42" s="10">
        <f>IF($A42="","",COUNTIFS(互动记录!$B$5:$B$1004,$A42,互动记录!$C$5:$C$1004,"增值/专项线索"))</f>
        <v/>
      </c>
      <c r="R42" s="10">
        <f>IF($A42="","",客户台账!N17)</f>
        <v/>
      </c>
      <c r="S42" s="10">
        <f>IF($A42="","",SUMIFS(支出记录!$E$5:$E$504,支出记录!$D$5:$D$504,$A42))</f>
        <v/>
      </c>
      <c r="T42" s="10">
        <f>IF(OR($A42="",I42=0),"",(R42-S42)/I42)</f>
        <v/>
      </c>
    </row>
    <row r="43">
      <c r="A43" s="9">
        <f>IF(客户台账!A18="","",客户台账!A18)</f>
        <v/>
      </c>
      <c r="B43" s="9">
        <f>IF($A43="","",客户台账!B18)</f>
        <v/>
      </c>
      <c r="C43" s="9">
        <f>IF($A43="","",客户台账!D18)</f>
        <v/>
      </c>
      <c r="D43" s="9">
        <f>IF($A43="","",客户台账!I18)</f>
        <v/>
      </c>
      <c r="E43" s="10">
        <f>IF(OR($A43="",客户台账!K18="",C43&lt;&gt;"会员线"),"",MAX(1,ROUNDUP((MIN(客户台账!L18,$B$3)-客户台账!K18+1)/7,0)))</f>
        <v/>
      </c>
      <c r="F43" s="16">
        <f>IF($A43="","",SUMIFS(工时记录!$I$5:$I$1004,工时记录!$B$5:$B$1004,$A43,工时记录!$K$5:$K$1004,"一次性")/60)</f>
        <v/>
      </c>
      <c r="G43" s="16">
        <f>IF($A43="","",SUMIFS(工时记录!$I$5:$I$1004,工时记录!$B$5:$B$1004,$A43,工时记录!$K$5:$K$1004,"维护")/60)</f>
        <v/>
      </c>
      <c r="H43" s="16">
        <f>IF($A43="","",SUMIFS(工时记录!$I$5:$I$1004,工时记录!$B$5:$B$1004,$A43,工时记录!$K$5:$K$1004,"专项")/60)</f>
        <v/>
      </c>
      <c r="I43" s="16">
        <f>IF($A43="","",SUMIFS(工时记录!$I$5:$I$1004,工时记录!$B$5:$B$1004,$A43)/60)</f>
        <v/>
      </c>
      <c r="J43" s="16">
        <f>IF(OR($A43="",E43=""),"",G43*60/E43)</f>
        <v/>
      </c>
      <c r="K43" s="10">
        <f>IF($A43="","",COUNTIFS(互动记录!$B$5:$B$1004,$A43,互动记录!$C$5:$C$1004,"老板发送数据"))</f>
        <v/>
      </c>
      <c r="L43" s="17">
        <f>IF(OR($A43="",E43=""),"",MIN(1,K43/E43))</f>
        <v/>
      </c>
      <c r="M43" s="10">
        <f>IF($A43="","",COUNTIFS(互动记录!$B$5:$B$1004,$A43,互动记录!$C$5:$C$1004,"老板主动提问/提需求"))</f>
        <v/>
      </c>
      <c r="N43" s="10">
        <f>IF($A43="","",COUNTIFS(互动记录!$B$5:$B$1004,$A43,互动记录!$C$5:$C$1004,"周报已发送（未修改）")+COUNTIFS(互动记录!$B$5:$B$1004,$A43,互动记录!$C$5:$C$1004,"周报经修改后发送")+COUNTIFS(互动记录!$B$5:$B$1004,$A43,互动记录!$C$5:$C$1004,"周报退回重做"))</f>
        <v/>
      </c>
      <c r="O43" s="17">
        <f>IF(OR($A43="",N43=0),"",(COUNTIFS(互动记录!$B$5:$B$1004,$A43,互动记录!$C$5:$C$1004,"周报经修改后发送")+COUNTIFS(互动记录!$B$5:$B$1004,$A43,互动记录!$C$5:$C$1004,"周报退回重做"))/N43)</f>
        <v/>
      </c>
      <c r="P43" s="10">
        <f>IF($A43="","",COUNTIFS(互动记录!$B$5:$B$1004,$A43,互动记录!$C$5:$C$1004,"建议被采用"))</f>
        <v/>
      </c>
      <c r="Q43" s="10">
        <f>IF($A43="","",COUNTIFS(互动记录!$B$5:$B$1004,$A43,互动记录!$C$5:$C$1004,"增值/专项线索"))</f>
        <v/>
      </c>
      <c r="R43" s="10">
        <f>IF($A43="","",客户台账!N18)</f>
        <v/>
      </c>
      <c r="S43" s="10">
        <f>IF($A43="","",SUMIFS(支出记录!$E$5:$E$504,支出记录!$D$5:$D$504,$A43))</f>
        <v/>
      </c>
      <c r="T43" s="10">
        <f>IF(OR($A43="",I43=0),"",(R43-S43)/I43)</f>
        <v/>
      </c>
    </row>
    <row r="44">
      <c r="A44" s="9">
        <f>IF(客户台账!A19="","",客户台账!A19)</f>
        <v/>
      </c>
      <c r="B44" s="9">
        <f>IF($A44="","",客户台账!B19)</f>
        <v/>
      </c>
      <c r="C44" s="9">
        <f>IF($A44="","",客户台账!D19)</f>
        <v/>
      </c>
      <c r="D44" s="9">
        <f>IF($A44="","",客户台账!I19)</f>
        <v/>
      </c>
      <c r="E44" s="10">
        <f>IF(OR($A44="",客户台账!K19="",C44&lt;&gt;"会员线"),"",MAX(1,ROUNDUP((MIN(客户台账!L19,$B$3)-客户台账!K19+1)/7,0)))</f>
        <v/>
      </c>
      <c r="F44" s="16">
        <f>IF($A44="","",SUMIFS(工时记录!$I$5:$I$1004,工时记录!$B$5:$B$1004,$A44,工时记录!$K$5:$K$1004,"一次性")/60)</f>
        <v/>
      </c>
      <c r="G44" s="16">
        <f>IF($A44="","",SUMIFS(工时记录!$I$5:$I$1004,工时记录!$B$5:$B$1004,$A44,工时记录!$K$5:$K$1004,"维护")/60)</f>
        <v/>
      </c>
      <c r="H44" s="16">
        <f>IF($A44="","",SUMIFS(工时记录!$I$5:$I$1004,工时记录!$B$5:$B$1004,$A44,工时记录!$K$5:$K$1004,"专项")/60)</f>
        <v/>
      </c>
      <c r="I44" s="16">
        <f>IF($A44="","",SUMIFS(工时记录!$I$5:$I$1004,工时记录!$B$5:$B$1004,$A44)/60)</f>
        <v/>
      </c>
      <c r="J44" s="16">
        <f>IF(OR($A44="",E44=""),"",G44*60/E44)</f>
        <v/>
      </c>
      <c r="K44" s="10">
        <f>IF($A44="","",COUNTIFS(互动记录!$B$5:$B$1004,$A44,互动记录!$C$5:$C$1004,"老板发送数据"))</f>
        <v/>
      </c>
      <c r="L44" s="17">
        <f>IF(OR($A44="",E44=""),"",MIN(1,K44/E44))</f>
        <v/>
      </c>
      <c r="M44" s="10">
        <f>IF($A44="","",COUNTIFS(互动记录!$B$5:$B$1004,$A44,互动记录!$C$5:$C$1004,"老板主动提问/提需求"))</f>
        <v/>
      </c>
      <c r="N44" s="10">
        <f>IF($A44="","",COUNTIFS(互动记录!$B$5:$B$1004,$A44,互动记录!$C$5:$C$1004,"周报已发送（未修改）")+COUNTIFS(互动记录!$B$5:$B$1004,$A44,互动记录!$C$5:$C$1004,"周报经修改后发送")+COUNTIFS(互动记录!$B$5:$B$1004,$A44,互动记录!$C$5:$C$1004,"周报退回重做"))</f>
        <v/>
      </c>
      <c r="O44" s="17">
        <f>IF(OR($A44="",N44=0),"",(COUNTIFS(互动记录!$B$5:$B$1004,$A44,互动记录!$C$5:$C$1004,"周报经修改后发送")+COUNTIFS(互动记录!$B$5:$B$1004,$A44,互动记录!$C$5:$C$1004,"周报退回重做"))/N44)</f>
        <v/>
      </c>
      <c r="P44" s="10">
        <f>IF($A44="","",COUNTIFS(互动记录!$B$5:$B$1004,$A44,互动记录!$C$5:$C$1004,"建议被采用"))</f>
        <v/>
      </c>
      <c r="Q44" s="10">
        <f>IF($A44="","",COUNTIFS(互动记录!$B$5:$B$1004,$A44,互动记录!$C$5:$C$1004,"增值/专项线索"))</f>
        <v/>
      </c>
      <c r="R44" s="10">
        <f>IF($A44="","",客户台账!N19)</f>
        <v/>
      </c>
      <c r="S44" s="10">
        <f>IF($A44="","",SUMIFS(支出记录!$E$5:$E$504,支出记录!$D$5:$D$504,$A44))</f>
        <v/>
      </c>
      <c r="T44" s="10">
        <f>IF(OR($A44="",I44=0),"",(R44-S44)/I44)</f>
        <v/>
      </c>
    </row>
    <row r="45">
      <c r="A45" s="9">
        <f>IF(客户台账!A20="","",客户台账!A20)</f>
        <v/>
      </c>
      <c r="B45" s="9">
        <f>IF($A45="","",客户台账!B20)</f>
        <v/>
      </c>
      <c r="C45" s="9">
        <f>IF($A45="","",客户台账!D20)</f>
        <v/>
      </c>
      <c r="D45" s="9">
        <f>IF($A45="","",客户台账!I20)</f>
        <v/>
      </c>
      <c r="E45" s="10">
        <f>IF(OR($A45="",客户台账!K20="",C45&lt;&gt;"会员线"),"",MAX(1,ROUNDUP((MIN(客户台账!L20,$B$3)-客户台账!K20+1)/7,0)))</f>
        <v/>
      </c>
      <c r="F45" s="16">
        <f>IF($A45="","",SUMIFS(工时记录!$I$5:$I$1004,工时记录!$B$5:$B$1004,$A45,工时记录!$K$5:$K$1004,"一次性")/60)</f>
        <v/>
      </c>
      <c r="G45" s="16">
        <f>IF($A45="","",SUMIFS(工时记录!$I$5:$I$1004,工时记录!$B$5:$B$1004,$A45,工时记录!$K$5:$K$1004,"维护")/60)</f>
        <v/>
      </c>
      <c r="H45" s="16">
        <f>IF($A45="","",SUMIFS(工时记录!$I$5:$I$1004,工时记录!$B$5:$B$1004,$A45,工时记录!$K$5:$K$1004,"专项")/60)</f>
        <v/>
      </c>
      <c r="I45" s="16">
        <f>IF($A45="","",SUMIFS(工时记录!$I$5:$I$1004,工时记录!$B$5:$B$1004,$A45)/60)</f>
        <v/>
      </c>
      <c r="J45" s="16">
        <f>IF(OR($A45="",E45=""),"",G45*60/E45)</f>
        <v/>
      </c>
      <c r="K45" s="10">
        <f>IF($A45="","",COUNTIFS(互动记录!$B$5:$B$1004,$A45,互动记录!$C$5:$C$1004,"老板发送数据"))</f>
        <v/>
      </c>
      <c r="L45" s="17">
        <f>IF(OR($A45="",E45=""),"",MIN(1,K45/E45))</f>
        <v/>
      </c>
      <c r="M45" s="10">
        <f>IF($A45="","",COUNTIFS(互动记录!$B$5:$B$1004,$A45,互动记录!$C$5:$C$1004,"老板主动提问/提需求"))</f>
        <v/>
      </c>
      <c r="N45" s="10">
        <f>IF($A45="","",COUNTIFS(互动记录!$B$5:$B$1004,$A45,互动记录!$C$5:$C$1004,"周报已发送（未修改）")+COUNTIFS(互动记录!$B$5:$B$1004,$A45,互动记录!$C$5:$C$1004,"周报经修改后发送")+COUNTIFS(互动记录!$B$5:$B$1004,$A45,互动记录!$C$5:$C$1004,"周报退回重做"))</f>
        <v/>
      </c>
      <c r="O45" s="17">
        <f>IF(OR($A45="",N45=0),"",(COUNTIFS(互动记录!$B$5:$B$1004,$A45,互动记录!$C$5:$C$1004,"周报经修改后发送")+COUNTIFS(互动记录!$B$5:$B$1004,$A45,互动记录!$C$5:$C$1004,"周报退回重做"))/N45)</f>
        <v/>
      </c>
      <c r="P45" s="10">
        <f>IF($A45="","",COUNTIFS(互动记录!$B$5:$B$1004,$A45,互动记录!$C$5:$C$1004,"建议被采用"))</f>
        <v/>
      </c>
      <c r="Q45" s="10">
        <f>IF($A45="","",COUNTIFS(互动记录!$B$5:$B$1004,$A45,互动记录!$C$5:$C$1004,"增值/专项线索"))</f>
        <v/>
      </c>
      <c r="R45" s="10">
        <f>IF($A45="","",客户台账!N20)</f>
        <v/>
      </c>
      <c r="S45" s="10">
        <f>IF($A45="","",SUMIFS(支出记录!$E$5:$E$504,支出记录!$D$5:$D$504,$A45))</f>
        <v/>
      </c>
      <c r="T45" s="10">
        <f>IF(OR($A45="",I45=0),"",(R45-S45)/I45)</f>
        <v/>
      </c>
    </row>
    <row r="46">
      <c r="A46" s="9">
        <f>IF(客户台账!A21="","",客户台账!A21)</f>
        <v/>
      </c>
      <c r="B46" s="9">
        <f>IF($A46="","",客户台账!B21)</f>
        <v/>
      </c>
      <c r="C46" s="9">
        <f>IF($A46="","",客户台账!D21)</f>
        <v/>
      </c>
      <c r="D46" s="9">
        <f>IF($A46="","",客户台账!I21)</f>
        <v/>
      </c>
      <c r="E46" s="10">
        <f>IF(OR($A46="",客户台账!K21="",C46&lt;&gt;"会员线"),"",MAX(1,ROUNDUP((MIN(客户台账!L21,$B$3)-客户台账!K21+1)/7,0)))</f>
        <v/>
      </c>
      <c r="F46" s="16">
        <f>IF($A46="","",SUMIFS(工时记录!$I$5:$I$1004,工时记录!$B$5:$B$1004,$A46,工时记录!$K$5:$K$1004,"一次性")/60)</f>
        <v/>
      </c>
      <c r="G46" s="16">
        <f>IF($A46="","",SUMIFS(工时记录!$I$5:$I$1004,工时记录!$B$5:$B$1004,$A46,工时记录!$K$5:$K$1004,"维护")/60)</f>
        <v/>
      </c>
      <c r="H46" s="16">
        <f>IF($A46="","",SUMIFS(工时记录!$I$5:$I$1004,工时记录!$B$5:$B$1004,$A46,工时记录!$K$5:$K$1004,"专项")/60)</f>
        <v/>
      </c>
      <c r="I46" s="16">
        <f>IF($A46="","",SUMIFS(工时记录!$I$5:$I$1004,工时记录!$B$5:$B$1004,$A46)/60)</f>
        <v/>
      </c>
      <c r="J46" s="16">
        <f>IF(OR($A46="",E46=""),"",G46*60/E46)</f>
        <v/>
      </c>
      <c r="K46" s="10">
        <f>IF($A46="","",COUNTIFS(互动记录!$B$5:$B$1004,$A46,互动记录!$C$5:$C$1004,"老板发送数据"))</f>
        <v/>
      </c>
      <c r="L46" s="17">
        <f>IF(OR($A46="",E46=""),"",MIN(1,K46/E46))</f>
        <v/>
      </c>
      <c r="M46" s="10">
        <f>IF($A46="","",COUNTIFS(互动记录!$B$5:$B$1004,$A46,互动记录!$C$5:$C$1004,"老板主动提问/提需求"))</f>
        <v/>
      </c>
      <c r="N46" s="10">
        <f>IF($A46="","",COUNTIFS(互动记录!$B$5:$B$1004,$A46,互动记录!$C$5:$C$1004,"周报已发送（未修改）")+COUNTIFS(互动记录!$B$5:$B$1004,$A46,互动记录!$C$5:$C$1004,"周报经修改后发送")+COUNTIFS(互动记录!$B$5:$B$1004,$A46,互动记录!$C$5:$C$1004,"周报退回重做"))</f>
        <v/>
      </c>
      <c r="O46" s="17">
        <f>IF(OR($A46="",N46=0),"",(COUNTIFS(互动记录!$B$5:$B$1004,$A46,互动记录!$C$5:$C$1004,"周报经修改后发送")+COUNTIFS(互动记录!$B$5:$B$1004,$A46,互动记录!$C$5:$C$1004,"周报退回重做"))/N46)</f>
        <v/>
      </c>
      <c r="P46" s="10">
        <f>IF($A46="","",COUNTIFS(互动记录!$B$5:$B$1004,$A46,互动记录!$C$5:$C$1004,"建议被采用"))</f>
        <v/>
      </c>
      <c r="Q46" s="10">
        <f>IF($A46="","",COUNTIFS(互动记录!$B$5:$B$1004,$A46,互动记录!$C$5:$C$1004,"增值/专项线索"))</f>
        <v/>
      </c>
      <c r="R46" s="10">
        <f>IF($A46="","",客户台账!N21)</f>
        <v/>
      </c>
      <c r="S46" s="10">
        <f>IF($A46="","",SUMIFS(支出记录!$E$5:$E$504,支出记录!$D$5:$D$504,$A46))</f>
        <v/>
      </c>
      <c r="T46" s="10">
        <f>IF(OR($A46="",I46=0),"",(R46-S46)/I46)</f>
        <v/>
      </c>
    </row>
    <row r="47">
      <c r="A47" s="9">
        <f>IF(客户台账!A22="","",客户台账!A22)</f>
        <v/>
      </c>
      <c r="B47" s="9">
        <f>IF($A47="","",客户台账!B22)</f>
        <v/>
      </c>
      <c r="C47" s="9">
        <f>IF($A47="","",客户台账!D22)</f>
        <v/>
      </c>
      <c r="D47" s="9">
        <f>IF($A47="","",客户台账!I22)</f>
        <v/>
      </c>
      <c r="E47" s="10">
        <f>IF(OR($A47="",客户台账!K22="",C47&lt;&gt;"会员线"),"",MAX(1,ROUNDUP((MIN(客户台账!L22,$B$3)-客户台账!K22+1)/7,0)))</f>
        <v/>
      </c>
      <c r="F47" s="16">
        <f>IF($A47="","",SUMIFS(工时记录!$I$5:$I$1004,工时记录!$B$5:$B$1004,$A47,工时记录!$K$5:$K$1004,"一次性")/60)</f>
        <v/>
      </c>
      <c r="G47" s="16">
        <f>IF($A47="","",SUMIFS(工时记录!$I$5:$I$1004,工时记录!$B$5:$B$1004,$A47,工时记录!$K$5:$K$1004,"维护")/60)</f>
        <v/>
      </c>
      <c r="H47" s="16">
        <f>IF($A47="","",SUMIFS(工时记录!$I$5:$I$1004,工时记录!$B$5:$B$1004,$A47,工时记录!$K$5:$K$1004,"专项")/60)</f>
        <v/>
      </c>
      <c r="I47" s="16">
        <f>IF($A47="","",SUMIFS(工时记录!$I$5:$I$1004,工时记录!$B$5:$B$1004,$A47)/60)</f>
        <v/>
      </c>
      <c r="J47" s="16">
        <f>IF(OR($A47="",E47=""),"",G47*60/E47)</f>
        <v/>
      </c>
      <c r="K47" s="10">
        <f>IF($A47="","",COUNTIFS(互动记录!$B$5:$B$1004,$A47,互动记录!$C$5:$C$1004,"老板发送数据"))</f>
        <v/>
      </c>
      <c r="L47" s="17">
        <f>IF(OR($A47="",E47=""),"",MIN(1,K47/E47))</f>
        <v/>
      </c>
      <c r="M47" s="10">
        <f>IF($A47="","",COUNTIFS(互动记录!$B$5:$B$1004,$A47,互动记录!$C$5:$C$1004,"老板主动提问/提需求"))</f>
        <v/>
      </c>
      <c r="N47" s="10">
        <f>IF($A47="","",COUNTIFS(互动记录!$B$5:$B$1004,$A47,互动记录!$C$5:$C$1004,"周报已发送（未修改）")+COUNTIFS(互动记录!$B$5:$B$1004,$A47,互动记录!$C$5:$C$1004,"周报经修改后发送")+COUNTIFS(互动记录!$B$5:$B$1004,$A47,互动记录!$C$5:$C$1004,"周报退回重做"))</f>
        <v/>
      </c>
      <c r="O47" s="17">
        <f>IF(OR($A47="",N47=0),"",(COUNTIFS(互动记录!$B$5:$B$1004,$A47,互动记录!$C$5:$C$1004,"周报经修改后发送")+COUNTIFS(互动记录!$B$5:$B$1004,$A47,互动记录!$C$5:$C$1004,"周报退回重做"))/N47)</f>
        <v/>
      </c>
      <c r="P47" s="10">
        <f>IF($A47="","",COUNTIFS(互动记录!$B$5:$B$1004,$A47,互动记录!$C$5:$C$1004,"建议被采用"))</f>
        <v/>
      </c>
      <c r="Q47" s="10">
        <f>IF($A47="","",COUNTIFS(互动记录!$B$5:$B$1004,$A47,互动记录!$C$5:$C$1004,"增值/专项线索"))</f>
        <v/>
      </c>
      <c r="R47" s="10">
        <f>IF($A47="","",客户台账!N22)</f>
        <v/>
      </c>
      <c r="S47" s="10">
        <f>IF($A47="","",SUMIFS(支出记录!$E$5:$E$504,支出记录!$D$5:$D$504,$A47))</f>
        <v/>
      </c>
      <c r="T47" s="10">
        <f>IF(OR($A47="",I47=0),"",(R47-S47)/I47)</f>
        <v/>
      </c>
    </row>
    <row r="48">
      <c r="A48" s="9">
        <f>IF(客户台账!A23="","",客户台账!A23)</f>
        <v/>
      </c>
      <c r="B48" s="9">
        <f>IF($A48="","",客户台账!B23)</f>
        <v/>
      </c>
      <c r="C48" s="9">
        <f>IF($A48="","",客户台账!D23)</f>
        <v/>
      </c>
      <c r="D48" s="9">
        <f>IF($A48="","",客户台账!I23)</f>
        <v/>
      </c>
      <c r="E48" s="10">
        <f>IF(OR($A48="",客户台账!K23="",C48&lt;&gt;"会员线"),"",MAX(1,ROUNDUP((MIN(客户台账!L23,$B$3)-客户台账!K23+1)/7,0)))</f>
        <v/>
      </c>
      <c r="F48" s="16">
        <f>IF($A48="","",SUMIFS(工时记录!$I$5:$I$1004,工时记录!$B$5:$B$1004,$A48,工时记录!$K$5:$K$1004,"一次性")/60)</f>
        <v/>
      </c>
      <c r="G48" s="16">
        <f>IF($A48="","",SUMIFS(工时记录!$I$5:$I$1004,工时记录!$B$5:$B$1004,$A48,工时记录!$K$5:$K$1004,"维护")/60)</f>
        <v/>
      </c>
      <c r="H48" s="16">
        <f>IF($A48="","",SUMIFS(工时记录!$I$5:$I$1004,工时记录!$B$5:$B$1004,$A48,工时记录!$K$5:$K$1004,"专项")/60)</f>
        <v/>
      </c>
      <c r="I48" s="16">
        <f>IF($A48="","",SUMIFS(工时记录!$I$5:$I$1004,工时记录!$B$5:$B$1004,$A48)/60)</f>
        <v/>
      </c>
      <c r="J48" s="16">
        <f>IF(OR($A48="",E48=""),"",G48*60/E48)</f>
        <v/>
      </c>
      <c r="K48" s="10">
        <f>IF($A48="","",COUNTIFS(互动记录!$B$5:$B$1004,$A48,互动记录!$C$5:$C$1004,"老板发送数据"))</f>
        <v/>
      </c>
      <c r="L48" s="17">
        <f>IF(OR($A48="",E48=""),"",MIN(1,K48/E48))</f>
        <v/>
      </c>
      <c r="M48" s="10">
        <f>IF($A48="","",COUNTIFS(互动记录!$B$5:$B$1004,$A48,互动记录!$C$5:$C$1004,"老板主动提问/提需求"))</f>
        <v/>
      </c>
      <c r="N48" s="10">
        <f>IF($A48="","",COUNTIFS(互动记录!$B$5:$B$1004,$A48,互动记录!$C$5:$C$1004,"周报已发送（未修改）")+COUNTIFS(互动记录!$B$5:$B$1004,$A48,互动记录!$C$5:$C$1004,"周报经修改后发送")+COUNTIFS(互动记录!$B$5:$B$1004,$A48,互动记录!$C$5:$C$1004,"周报退回重做"))</f>
        <v/>
      </c>
      <c r="O48" s="17">
        <f>IF(OR($A48="",N48=0),"",(COUNTIFS(互动记录!$B$5:$B$1004,$A48,互动记录!$C$5:$C$1004,"周报经修改后发送")+COUNTIFS(互动记录!$B$5:$B$1004,$A48,互动记录!$C$5:$C$1004,"周报退回重做"))/N48)</f>
        <v/>
      </c>
      <c r="P48" s="10">
        <f>IF($A48="","",COUNTIFS(互动记录!$B$5:$B$1004,$A48,互动记录!$C$5:$C$1004,"建议被采用"))</f>
        <v/>
      </c>
      <c r="Q48" s="10">
        <f>IF($A48="","",COUNTIFS(互动记录!$B$5:$B$1004,$A48,互动记录!$C$5:$C$1004,"增值/专项线索"))</f>
        <v/>
      </c>
      <c r="R48" s="10">
        <f>IF($A48="","",客户台账!N23)</f>
        <v/>
      </c>
      <c r="S48" s="10">
        <f>IF($A48="","",SUMIFS(支出记录!$E$5:$E$504,支出记录!$D$5:$D$504,$A48))</f>
        <v/>
      </c>
      <c r="T48" s="10">
        <f>IF(OR($A48="",I48=0),"",(R48-S48)/I48)</f>
        <v/>
      </c>
    </row>
    <row r="49">
      <c r="A49" s="9">
        <f>IF(客户台账!A24="","",客户台账!A24)</f>
        <v/>
      </c>
      <c r="B49" s="9">
        <f>IF($A49="","",客户台账!B24)</f>
        <v/>
      </c>
      <c r="C49" s="9">
        <f>IF($A49="","",客户台账!D24)</f>
        <v/>
      </c>
      <c r="D49" s="9">
        <f>IF($A49="","",客户台账!I24)</f>
        <v/>
      </c>
      <c r="E49" s="10">
        <f>IF(OR($A49="",客户台账!K24="",C49&lt;&gt;"会员线"),"",MAX(1,ROUNDUP((MIN(客户台账!L24,$B$3)-客户台账!K24+1)/7,0)))</f>
        <v/>
      </c>
      <c r="F49" s="16">
        <f>IF($A49="","",SUMIFS(工时记录!$I$5:$I$1004,工时记录!$B$5:$B$1004,$A49,工时记录!$K$5:$K$1004,"一次性")/60)</f>
        <v/>
      </c>
      <c r="G49" s="16">
        <f>IF($A49="","",SUMIFS(工时记录!$I$5:$I$1004,工时记录!$B$5:$B$1004,$A49,工时记录!$K$5:$K$1004,"维护")/60)</f>
        <v/>
      </c>
      <c r="H49" s="16">
        <f>IF($A49="","",SUMIFS(工时记录!$I$5:$I$1004,工时记录!$B$5:$B$1004,$A49,工时记录!$K$5:$K$1004,"专项")/60)</f>
        <v/>
      </c>
      <c r="I49" s="16">
        <f>IF($A49="","",SUMIFS(工时记录!$I$5:$I$1004,工时记录!$B$5:$B$1004,$A49)/60)</f>
        <v/>
      </c>
      <c r="J49" s="16">
        <f>IF(OR($A49="",E49=""),"",G49*60/E49)</f>
        <v/>
      </c>
      <c r="K49" s="10">
        <f>IF($A49="","",COUNTIFS(互动记录!$B$5:$B$1004,$A49,互动记录!$C$5:$C$1004,"老板发送数据"))</f>
        <v/>
      </c>
      <c r="L49" s="17">
        <f>IF(OR($A49="",E49=""),"",MIN(1,K49/E49))</f>
        <v/>
      </c>
      <c r="M49" s="10">
        <f>IF($A49="","",COUNTIFS(互动记录!$B$5:$B$1004,$A49,互动记录!$C$5:$C$1004,"老板主动提问/提需求"))</f>
        <v/>
      </c>
      <c r="N49" s="10">
        <f>IF($A49="","",COUNTIFS(互动记录!$B$5:$B$1004,$A49,互动记录!$C$5:$C$1004,"周报已发送（未修改）")+COUNTIFS(互动记录!$B$5:$B$1004,$A49,互动记录!$C$5:$C$1004,"周报经修改后发送")+COUNTIFS(互动记录!$B$5:$B$1004,$A49,互动记录!$C$5:$C$1004,"周报退回重做"))</f>
        <v/>
      </c>
      <c r="O49" s="17">
        <f>IF(OR($A49="",N49=0),"",(COUNTIFS(互动记录!$B$5:$B$1004,$A49,互动记录!$C$5:$C$1004,"周报经修改后发送")+COUNTIFS(互动记录!$B$5:$B$1004,$A49,互动记录!$C$5:$C$1004,"周报退回重做"))/N49)</f>
        <v/>
      </c>
      <c r="P49" s="10">
        <f>IF($A49="","",COUNTIFS(互动记录!$B$5:$B$1004,$A49,互动记录!$C$5:$C$1004,"建议被采用"))</f>
        <v/>
      </c>
      <c r="Q49" s="10">
        <f>IF($A49="","",COUNTIFS(互动记录!$B$5:$B$1004,$A49,互动记录!$C$5:$C$1004,"增值/专项线索"))</f>
        <v/>
      </c>
      <c r="R49" s="10">
        <f>IF($A49="","",客户台账!N24)</f>
        <v/>
      </c>
      <c r="S49" s="10">
        <f>IF($A49="","",SUMIFS(支出记录!$E$5:$E$504,支出记录!$D$5:$D$504,$A49))</f>
        <v/>
      </c>
      <c r="T49" s="10">
        <f>IF(OR($A49="",I49=0),"",(R49-S49)/I49)</f>
        <v/>
      </c>
    </row>
    <row r="50">
      <c r="A50" s="9">
        <f>IF(客户台账!A25="","",客户台账!A25)</f>
        <v/>
      </c>
      <c r="B50" s="9">
        <f>IF($A50="","",客户台账!B25)</f>
        <v/>
      </c>
      <c r="C50" s="9">
        <f>IF($A50="","",客户台账!D25)</f>
        <v/>
      </c>
      <c r="D50" s="9">
        <f>IF($A50="","",客户台账!I25)</f>
        <v/>
      </c>
      <c r="E50" s="10">
        <f>IF(OR($A50="",客户台账!K25="",C50&lt;&gt;"会员线"),"",MAX(1,ROUNDUP((MIN(客户台账!L25,$B$3)-客户台账!K25+1)/7,0)))</f>
        <v/>
      </c>
      <c r="F50" s="16">
        <f>IF($A50="","",SUMIFS(工时记录!$I$5:$I$1004,工时记录!$B$5:$B$1004,$A50,工时记录!$K$5:$K$1004,"一次性")/60)</f>
        <v/>
      </c>
      <c r="G50" s="16">
        <f>IF($A50="","",SUMIFS(工时记录!$I$5:$I$1004,工时记录!$B$5:$B$1004,$A50,工时记录!$K$5:$K$1004,"维护")/60)</f>
        <v/>
      </c>
      <c r="H50" s="16">
        <f>IF($A50="","",SUMIFS(工时记录!$I$5:$I$1004,工时记录!$B$5:$B$1004,$A50,工时记录!$K$5:$K$1004,"专项")/60)</f>
        <v/>
      </c>
      <c r="I50" s="16">
        <f>IF($A50="","",SUMIFS(工时记录!$I$5:$I$1004,工时记录!$B$5:$B$1004,$A50)/60)</f>
        <v/>
      </c>
      <c r="J50" s="16">
        <f>IF(OR($A50="",E50=""),"",G50*60/E50)</f>
        <v/>
      </c>
      <c r="K50" s="10">
        <f>IF($A50="","",COUNTIFS(互动记录!$B$5:$B$1004,$A50,互动记录!$C$5:$C$1004,"老板发送数据"))</f>
        <v/>
      </c>
      <c r="L50" s="17">
        <f>IF(OR($A50="",E50=""),"",MIN(1,K50/E50))</f>
        <v/>
      </c>
      <c r="M50" s="10">
        <f>IF($A50="","",COUNTIFS(互动记录!$B$5:$B$1004,$A50,互动记录!$C$5:$C$1004,"老板主动提问/提需求"))</f>
        <v/>
      </c>
      <c r="N50" s="10">
        <f>IF($A50="","",COUNTIFS(互动记录!$B$5:$B$1004,$A50,互动记录!$C$5:$C$1004,"周报已发送（未修改）")+COUNTIFS(互动记录!$B$5:$B$1004,$A50,互动记录!$C$5:$C$1004,"周报经修改后发送")+COUNTIFS(互动记录!$B$5:$B$1004,$A50,互动记录!$C$5:$C$1004,"周报退回重做"))</f>
        <v/>
      </c>
      <c r="O50" s="17">
        <f>IF(OR($A50="",N50=0),"",(COUNTIFS(互动记录!$B$5:$B$1004,$A50,互动记录!$C$5:$C$1004,"周报经修改后发送")+COUNTIFS(互动记录!$B$5:$B$1004,$A50,互动记录!$C$5:$C$1004,"周报退回重做"))/N50)</f>
        <v/>
      </c>
      <c r="P50" s="10">
        <f>IF($A50="","",COUNTIFS(互动记录!$B$5:$B$1004,$A50,互动记录!$C$5:$C$1004,"建议被采用"))</f>
        <v/>
      </c>
      <c r="Q50" s="10">
        <f>IF($A50="","",COUNTIFS(互动记录!$B$5:$B$1004,$A50,互动记录!$C$5:$C$1004,"增值/专项线索"))</f>
        <v/>
      </c>
      <c r="R50" s="10">
        <f>IF($A50="","",客户台账!N25)</f>
        <v/>
      </c>
      <c r="S50" s="10">
        <f>IF($A50="","",SUMIFS(支出记录!$E$5:$E$504,支出记录!$D$5:$D$504,$A50))</f>
        <v/>
      </c>
      <c r="T50" s="10">
        <f>IF(OR($A50="",I50=0),"",(R50-S50)/I50)</f>
        <v/>
      </c>
    </row>
    <row r="51">
      <c r="A51" s="9">
        <f>IF(客户台账!A26="","",客户台账!A26)</f>
        <v/>
      </c>
      <c r="B51" s="9">
        <f>IF($A51="","",客户台账!B26)</f>
        <v/>
      </c>
      <c r="C51" s="9">
        <f>IF($A51="","",客户台账!D26)</f>
        <v/>
      </c>
      <c r="D51" s="9">
        <f>IF($A51="","",客户台账!I26)</f>
        <v/>
      </c>
      <c r="E51" s="10">
        <f>IF(OR($A51="",客户台账!K26="",C51&lt;&gt;"会员线"),"",MAX(1,ROUNDUP((MIN(客户台账!L26,$B$3)-客户台账!K26+1)/7,0)))</f>
        <v/>
      </c>
      <c r="F51" s="16">
        <f>IF($A51="","",SUMIFS(工时记录!$I$5:$I$1004,工时记录!$B$5:$B$1004,$A51,工时记录!$K$5:$K$1004,"一次性")/60)</f>
        <v/>
      </c>
      <c r="G51" s="16">
        <f>IF($A51="","",SUMIFS(工时记录!$I$5:$I$1004,工时记录!$B$5:$B$1004,$A51,工时记录!$K$5:$K$1004,"维护")/60)</f>
        <v/>
      </c>
      <c r="H51" s="16">
        <f>IF($A51="","",SUMIFS(工时记录!$I$5:$I$1004,工时记录!$B$5:$B$1004,$A51,工时记录!$K$5:$K$1004,"专项")/60)</f>
        <v/>
      </c>
      <c r="I51" s="16">
        <f>IF($A51="","",SUMIFS(工时记录!$I$5:$I$1004,工时记录!$B$5:$B$1004,$A51)/60)</f>
        <v/>
      </c>
      <c r="J51" s="16">
        <f>IF(OR($A51="",E51=""),"",G51*60/E51)</f>
        <v/>
      </c>
      <c r="K51" s="10">
        <f>IF($A51="","",COUNTIFS(互动记录!$B$5:$B$1004,$A51,互动记录!$C$5:$C$1004,"老板发送数据"))</f>
        <v/>
      </c>
      <c r="L51" s="17">
        <f>IF(OR($A51="",E51=""),"",MIN(1,K51/E51))</f>
        <v/>
      </c>
      <c r="M51" s="10">
        <f>IF($A51="","",COUNTIFS(互动记录!$B$5:$B$1004,$A51,互动记录!$C$5:$C$1004,"老板主动提问/提需求"))</f>
        <v/>
      </c>
      <c r="N51" s="10">
        <f>IF($A51="","",COUNTIFS(互动记录!$B$5:$B$1004,$A51,互动记录!$C$5:$C$1004,"周报已发送（未修改）")+COUNTIFS(互动记录!$B$5:$B$1004,$A51,互动记录!$C$5:$C$1004,"周报经修改后发送")+COUNTIFS(互动记录!$B$5:$B$1004,$A51,互动记录!$C$5:$C$1004,"周报退回重做"))</f>
        <v/>
      </c>
      <c r="O51" s="17">
        <f>IF(OR($A51="",N51=0),"",(COUNTIFS(互动记录!$B$5:$B$1004,$A51,互动记录!$C$5:$C$1004,"周报经修改后发送")+COUNTIFS(互动记录!$B$5:$B$1004,$A51,互动记录!$C$5:$C$1004,"周报退回重做"))/N51)</f>
        <v/>
      </c>
      <c r="P51" s="10">
        <f>IF($A51="","",COUNTIFS(互动记录!$B$5:$B$1004,$A51,互动记录!$C$5:$C$1004,"建议被采用"))</f>
        <v/>
      </c>
      <c r="Q51" s="10">
        <f>IF($A51="","",COUNTIFS(互动记录!$B$5:$B$1004,$A51,互动记录!$C$5:$C$1004,"增值/专项线索"))</f>
        <v/>
      </c>
      <c r="R51" s="10">
        <f>IF($A51="","",客户台账!N26)</f>
        <v/>
      </c>
      <c r="S51" s="10">
        <f>IF($A51="","",SUMIFS(支出记录!$E$5:$E$504,支出记录!$D$5:$D$504,$A51))</f>
        <v/>
      </c>
      <c r="T51" s="10">
        <f>IF(OR($A51="",I51=0),"",(R51-S51)/I51)</f>
        <v/>
      </c>
    </row>
    <row r="52">
      <c r="A52" s="9">
        <f>IF(客户台账!A27="","",客户台账!A27)</f>
        <v/>
      </c>
      <c r="B52" s="9">
        <f>IF($A52="","",客户台账!B27)</f>
        <v/>
      </c>
      <c r="C52" s="9">
        <f>IF($A52="","",客户台账!D27)</f>
        <v/>
      </c>
      <c r="D52" s="9">
        <f>IF($A52="","",客户台账!I27)</f>
        <v/>
      </c>
      <c r="E52" s="10">
        <f>IF(OR($A52="",客户台账!K27="",C52&lt;&gt;"会员线"),"",MAX(1,ROUNDUP((MIN(客户台账!L27,$B$3)-客户台账!K27+1)/7,0)))</f>
        <v/>
      </c>
      <c r="F52" s="16">
        <f>IF($A52="","",SUMIFS(工时记录!$I$5:$I$1004,工时记录!$B$5:$B$1004,$A52,工时记录!$K$5:$K$1004,"一次性")/60)</f>
        <v/>
      </c>
      <c r="G52" s="16">
        <f>IF($A52="","",SUMIFS(工时记录!$I$5:$I$1004,工时记录!$B$5:$B$1004,$A52,工时记录!$K$5:$K$1004,"维护")/60)</f>
        <v/>
      </c>
      <c r="H52" s="16">
        <f>IF($A52="","",SUMIFS(工时记录!$I$5:$I$1004,工时记录!$B$5:$B$1004,$A52,工时记录!$K$5:$K$1004,"专项")/60)</f>
        <v/>
      </c>
      <c r="I52" s="16">
        <f>IF($A52="","",SUMIFS(工时记录!$I$5:$I$1004,工时记录!$B$5:$B$1004,$A52)/60)</f>
        <v/>
      </c>
      <c r="J52" s="16">
        <f>IF(OR($A52="",E52=""),"",G52*60/E52)</f>
        <v/>
      </c>
      <c r="K52" s="10">
        <f>IF($A52="","",COUNTIFS(互动记录!$B$5:$B$1004,$A52,互动记录!$C$5:$C$1004,"老板发送数据"))</f>
        <v/>
      </c>
      <c r="L52" s="17">
        <f>IF(OR($A52="",E52=""),"",MIN(1,K52/E52))</f>
        <v/>
      </c>
      <c r="M52" s="10">
        <f>IF($A52="","",COUNTIFS(互动记录!$B$5:$B$1004,$A52,互动记录!$C$5:$C$1004,"老板主动提问/提需求"))</f>
        <v/>
      </c>
      <c r="N52" s="10">
        <f>IF($A52="","",COUNTIFS(互动记录!$B$5:$B$1004,$A52,互动记录!$C$5:$C$1004,"周报已发送（未修改）")+COUNTIFS(互动记录!$B$5:$B$1004,$A52,互动记录!$C$5:$C$1004,"周报经修改后发送")+COUNTIFS(互动记录!$B$5:$B$1004,$A52,互动记录!$C$5:$C$1004,"周报退回重做"))</f>
        <v/>
      </c>
      <c r="O52" s="17">
        <f>IF(OR($A52="",N52=0),"",(COUNTIFS(互动记录!$B$5:$B$1004,$A52,互动记录!$C$5:$C$1004,"周报经修改后发送")+COUNTIFS(互动记录!$B$5:$B$1004,$A52,互动记录!$C$5:$C$1004,"周报退回重做"))/N52)</f>
        <v/>
      </c>
      <c r="P52" s="10">
        <f>IF($A52="","",COUNTIFS(互动记录!$B$5:$B$1004,$A52,互动记录!$C$5:$C$1004,"建议被采用"))</f>
        <v/>
      </c>
      <c r="Q52" s="10">
        <f>IF($A52="","",COUNTIFS(互动记录!$B$5:$B$1004,$A52,互动记录!$C$5:$C$1004,"增值/专项线索"))</f>
        <v/>
      </c>
      <c r="R52" s="10">
        <f>IF($A52="","",客户台账!N27)</f>
        <v/>
      </c>
      <c r="S52" s="10">
        <f>IF($A52="","",SUMIFS(支出记录!$E$5:$E$504,支出记录!$D$5:$D$504,$A52))</f>
        <v/>
      </c>
      <c r="T52" s="10">
        <f>IF(OR($A52="",I52=0),"",(R52-S52)/I52)</f>
        <v/>
      </c>
    </row>
    <row r="53">
      <c r="A53" s="9">
        <f>IF(客户台账!A28="","",客户台账!A28)</f>
        <v/>
      </c>
      <c r="B53" s="9">
        <f>IF($A53="","",客户台账!B28)</f>
        <v/>
      </c>
      <c r="C53" s="9">
        <f>IF($A53="","",客户台账!D28)</f>
        <v/>
      </c>
      <c r="D53" s="9">
        <f>IF($A53="","",客户台账!I28)</f>
        <v/>
      </c>
      <c r="E53" s="10">
        <f>IF(OR($A53="",客户台账!K28="",C53&lt;&gt;"会员线"),"",MAX(1,ROUNDUP((MIN(客户台账!L28,$B$3)-客户台账!K28+1)/7,0)))</f>
        <v/>
      </c>
      <c r="F53" s="16">
        <f>IF($A53="","",SUMIFS(工时记录!$I$5:$I$1004,工时记录!$B$5:$B$1004,$A53,工时记录!$K$5:$K$1004,"一次性")/60)</f>
        <v/>
      </c>
      <c r="G53" s="16">
        <f>IF($A53="","",SUMIFS(工时记录!$I$5:$I$1004,工时记录!$B$5:$B$1004,$A53,工时记录!$K$5:$K$1004,"维护")/60)</f>
        <v/>
      </c>
      <c r="H53" s="16">
        <f>IF($A53="","",SUMIFS(工时记录!$I$5:$I$1004,工时记录!$B$5:$B$1004,$A53,工时记录!$K$5:$K$1004,"专项")/60)</f>
        <v/>
      </c>
      <c r="I53" s="16">
        <f>IF($A53="","",SUMIFS(工时记录!$I$5:$I$1004,工时记录!$B$5:$B$1004,$A53)/60)</f>
        <v/>
      </c>
      <c r="J53" s="16">
        <f>IF(OR($A53="",E53=""),"",G53*60/E53)</f>
        <v/>
      </c>
      <c r="K53" s="10">
        <f>IF($A53="","",COUNTIFS(互动记录!$B$5:$B$1004,$A53,互动记录!$C$5:$C$1004,"老板发送数据"))</f>
        <v/>
      </c>
      <c r="L53" s="17">
        <f>IF(OR($A53="",E53=""),"",MIN(1,K53/E53))</f>
        <v/>
      </c>
      <c r="M53" s="10">
        <f>IF($A53="","",COUNTIFS(互动记录!$B$5:$B$1004,$A53,互动记录!$C$5:$C$1004,"老板主动提问/提需求"))</f>
        <v/>
      </c>
      <c r="N53" s="10">
        <f>IF($A53="","",COUNTIFS(互动记录!$B$5:$B$1004,$A53,互动记录!$C$5:$C$1004,"周报已发送（未修改）")+COUNTIFS(互动记录!$B$5:$B$1004,$A53,互动记录!$C$5:$C$1004,"周报经修改后发送")+COUNTIFS(互动记录!$B$5:$B$1004,$A53,互动记录!$C$5:$C$1004,"周报退回重做"))</f>
        <v/>
      </c>
      <c r="O53" s="17">
        <f>IF(OR($A53="",N53=0),"",(COUNTIFS(互动记录!$B$5:$B$1004,$A53,互动记录!$C$5:$C$1004,"周报经修改后发送")+COUNTIFS(互动记录!$B$5:$B$1004,$A53,互动记录!$C$5:$C$1004,"周报退回重做"))/N53)</f>
        <v/>
      </c>
      <c r="P53" s="10">
        <f>IF($A53="","",COUNTIFS(互动记录!$B$5:$B$1004,$A53,互动记录!$C$5:$C$1004,"建议被采用"))</f>
        <v/>
      </c>
      <c r="Q53" s="10">
        <f>IF($A53="","",COUNTIFS(互动记录!$B$5:$B$1004,$A53,互动记录!$C$5:$C$1004,"增值/专项线索"))</f>
        <v/>
      </c>
      <c r="R53" s="10">
        <f>IF($A53="","",客户台账!N28)</f>
        <v/>
      </c>
      <c r="S53" s="10">
        <f>IF($A53="","",SUMIFS(支出记录!$E$5:$E$504,支出记录!$D$5:$D$504,$A53))</f>
        <v/>
      </c>
      <c r="T53" s="10">
        <f>IF(OR($A53="",I53=0),"",(R53-S53)/I53)</f>
        <v/>
      </c>
    </row>
    <row r="54">
      <c r="A54" s="9">
        <f>IF(客户台账!A29="","",客户台账!A29)</f>
        <v/>
      </c>
      <c r="B54" s="9">
        <f>IF($A54="","",客户台账!B29)</f>
        <v/>
      </c>
      <c r="C54" s="9">
        <f>IF($A54="","",客户台账!D29)</f>
        <v/>
      </c>
      <c r="D54" s="9">
        <f>IF($A54="","",客户台账!I29)</f>
        <v/>
      </c>
      <c r="E54" s="10">
        <f>IF(OR($A54="",客户台账!K29="",C54&lt;&gt;"会员线"),"",MAX(1,ROUNDUP((MIN(客户台账!L29,$B$3)-客户台账!K29+1)/7,0)))</f>
        <v/>
      </c>
      <c r="F54" s="16">
        <f>IF($A54="","",SUMIFS(工时记录!$I$5:$I$1004,工时记录!$B$5:$B$1004,$A54,工时记录!$K$5:$K$1004,"一次性")/60)</f>
        <v/>
      </c>
      <c r="G54" s="16">
        <f>IF($A54="","",SUMIFS(工时记录!$I$5:$I$1004,工时记录!$B$5:$B$1004,$A54,工时记录!$K$5:$K$1004,"维护")/60)</f>
        <v/>
      </c>
      <c r="H54" s="16">
        <f>IF($A54="","",SUMIFS(工时记录!$I$5:$I$1004,工时记录!$B$5:$B$1004,$A54,工时记录!$K$5:$K$1004,"专项")/60)</f>
        <v/>
      </c>
      <c r="I54" s="16">
        <f>IF($A54="","",SUMIFS(工时记录!$I$5:$I$1004,工时记录!$B$5:$B$1004,$A54)/60)</f>
        <v/>
      </c>
      <c r="J54" s="16">
        <f>IF(OR($A54="",E54=""),"",G54*60/E54)</f>
        <v/>
      </c>
      <c r="K54" s="10">
        <f>IF($A54="","",COUNTIFS(互动记录!$B$5:$B$1004,$A54,互动记录!$C$5:$C$1004,"老板发送数据"))</f>
        <v/>
      </c>
      <c r="L54" s="17">
        <f>IF(OR($A54="",E54=""),"",MIN(1,K54/E54))</f>
        <v/>
      </c>
      <c r="M54" s="10">
        <f>IF($A54="","",COUNTIFS(互动记录!$B$5:$B$1004,$A54,互动记录!$C$5:$C$1004,"老板主动提问/提需求"))</f>
        <v/>
      </c>
      <c r="N54" s="10">
        <f>IF($A54="","",COUNTIFS(互动记录!$B$5:$B$1004,$A54,互动记录!$C$5:$C$1004,"周报已发送（未修改）")+COUNTIFS(互动记录!$B$5:$B$1004,$A54,互动记录!$C$5:$C$1004,"周报经修改后发送")+COUNTIFS(互动记录!$B$5:$B$1004,$A54,互动记录!$C$5:$C$1004,"周报退回重做"))</f>
        <v/>
      </c>
      <c r="O54" s="17">
        <f>IF(OR($A54="",N54=0),"",(COUNTIFS(互动记录!$B$5:$B$1004,$A54,互动记录!$C$5:$C$1004,"周报经修改后发送")+COUNTIFS(互动记录!$B$5:$B$1004,$A54,互动记录!$C$5:$C$1004,"周报退回重做"))/N54)</f>
        <v/>
      </c>
      <c r="P54" s="10">
        <f>IF($A54="","",COUNTIFS(互动记录!$B$5:$B$1004,$A54,互动记录!$C$5:$C$1004,"建议被采用"))</f>
        <v/>
      </c>
      <c r="Q54" s="10">
        <f>IF($A54="","",COUNTIFS(互动记录!$B$5:$B$1004,$A54,互动记录!$C$5:$C$1004,"增值/专项线索"))</f>
        <v/>
      </c>
      <c r="R54" s="10">
        <f>IF($A54="","",客户台账!N29)</f>
        <v/>
      </c>
      <c r="S54" s="10">
        <f>IF($A54="","",SUMIFS(支出记录!$E$5:$E$504,支出记录!$D$5:$D$504,$A54))</f>
        <v/>
      </c>
      <c r="T54" s="10">
        <f>IF(OR($A54="",I54=0),"",(R54-S54)/I54)</f>
        <v/>
      </c>
    </row>
    <row r="55">
      <c r="A55" s="9">
        <f>IF(客户台账!A30="","",客户台账!A30)</f>
        <v/>
      </c>
      <c r="B55" s="9">
        <f>IF($A55="","",客户台账!B30)</f>
        <v/>
      </c>
      <c r="C55" s="9">
        <f>IF($A55="","",客户台账!D30)</f>
        <v/>
      </c>
      <c r="D55" s="9">
        <f>IF($A55="","",客户台账!I30)</f>
        <v/>
      </c>
      <c r="E55" s="10">
        <f>IF(OR($A55="",客户台账!K30="",C55&lt;&gt;"会员线"),"",MAX(1,ROUNDUP((MIN(客户台账!L30,$B$3)-客户台账!K30+1)/7,0)))</f>
        <v/>
      </c>
      <c r="F55" s="16">
        <f>IF($A55="","",SUMIFS(工时记录!$I$5:$I$1004,工时记录!$B$5:$B$1004,$A55,工时记录!$K$5:$K$1004,"一次性")/60)</f>
        <v/>
      </c>
      <c r="G55" s="16">
        <f>IF($A55="","",SUMIFS(工时记录!$I$5:$I$1004,工时记录!$B$5:$B$1004,$A55,工时记录!$K$5:$K$1004,"维护")/60)</f>
        <v/>
      </c>
      <c r="H55" s="16">
        <f>IF($A55="","",SUMIFS(工时记录!$I$5:$I$1004,工时记录!$B$5:$B$1004,$A55,工时记录!$K$5:$K$1004,"专项")/60)</f>
        <v/>
      </c>
      <c r="I55" s="16">
        <f>IF($A55="","",SUMIFS(工时记录!$I$5:$I$1004,工时记录!$B$5:$B$1004,$A55)/60)</f>
        <v/>
      </c>
      <c r="J55" s="16">
        <f>IF(OR($A55="",E55=""),"",G55*60/E55)</f>
        <v/>
      </c>
      <c r="K55" s="10">
        <f>IF($A55="","",COUNTIFS(互动记录!$B$5:$B$1004,$A55,互动记录!$C$5:$C$1004,"老板发送数据"))</f>
        <v/>
      </c>
      <c r="L55" s="17">
        <f>IF(OR($A55="",E55=""),"",MIN(1,K55/E55))</f>
        <v/>
      </c>
      <c r="M55" s="10">
        <f>IF($A55="","",COUNTIFS(互动记录!$B$5:$B$1004,$A55,互动记录!$C$5:$C$1004,"老板主动提问/提需求"))</f>
        <v/>
      </c>
      <c r="N55" s="10">
        <f>IF($A55="","",COUNTIFS(互动记录!$B$5:$B$1004,$A55,互动记录!$C$5:$C$1004,"周报已发送（未修改）")+COUNTIFS(互动记录!$B$5:$B$1004,$A55,互动记录!$C$5:$C$1004,"周报经修改后发送")+COUNTIFS(互动记录!$B$5:$B$1004,$A55,互动记录!$C$5:$C$1004,"周报退回重做"))</f>
        <v/>
      </c>
      <c r="O55" s="17">
        <f>IF(OR($A55="",N55=0),"",(COUNTIFS(互动记录!$B$5:$B$1004,$A55,互动记录!$C$5:$C$1004,"周报经修改后发送")+COUNTIFS(互动记录!$B$5:$B$1004,$A55,互动记录!$C$5:$C$1004,"周报退回重做"))/N55)</f>
        <v/>
      </c>
      <c r="P55" s="10">
        <f>IF($A55="","",COUNTIFS(互动记录!$B$5:$B$1004,$A55,互动记录!$C$5:$C$1004,"建议被采用"))</f>
        <v/>
      </c>
      <c r="Q55" s="10">
        <f>IF($A55="","",COUNTIFS(互动记录!$B$5:$B$1004,$A55,互动记录!$C$5:$C$1004,"增值/专项线索"))</f>
        <v/>
      </c>
      <c r="R55" s="10">
        <f>IF($A55="","",客户台账!N30)</f>
        <v/>
      </c>
      <c r="S55" s="10">
        <f>IF($A55="","",SUMIFS(支出记录!$E$5:$E$504,支出记录!$D$5:$D$504,$A55))</f>
        <v/>
      </c>
      <c r="T55" s="10">
        <f>IF(OR($A55="",I55=0),"",(R55-S55)/I55)</f>
        <v/>
      </c>
    </row>
    <row r="56">
      <c r="A56" s="9">
        <f>IF(客户台账!A31="","",客户台账!A31)</f>
        <v/>
      </c>
      <c r="B56" s="9">
        <f>IF($A56="","",客户台账!B31)</f>
        <v/>
      </c>
      <c r="C56" s="9">
        <f>IF($A56="","",客户台账!D31)</f>
        <v/>
      </c>
      <c r="D56" s="9">
        <f>IF($A56="","",客户台账!I31)</f>
        <v/>
      </c>
      <c r="E56" s="10">
        <f>IF(OR($A56="",客户台账!K31="",C56&lt;&gt;"会员线"),"",MAX(1,ROUNDUP((MIN(客户台账!L31,$B$3)-客户台账!K31+1)/7,0)))</f>
        <v/>
      </c>
      <c r="F56" s="16">
        <f>IF($A56="","",SUMIFS(工时记录!$I$5:$I$1004,工时记录!$B$5:$B$1004,$A56,工时记录!$K$5:$K$1004,"一次性")/60)</f>
        <v/>
      </c>
      <c r="G56" s="16">
        <f>IF($A56="","",SUMIFS(工时记录!$I$5:$I$1004,工时记录!$B$5:$B$1004,$A56,工时记录!$K$5:$K$1004,"维护")/60)</f>
        <v/>
      </c>
      <c r="H56" s="16">
        <f>IF($A56="","",SUMIFS(工时记录!$I$5:$I$1004,工时记录!$B$5:$B$1004,$A56,工时记录!$K$5:$K$1004,"专项")/60)</f>
        <v/>
      </c>
      <c r="I56" s="16">
        <f>IF($A56="","",SUMIFS(工时记录!$I$5:$I$1004,工时记录!$B$5:$B$1004,$A56)/60)</f>
        <v/>
      </c>
      <c r="J56" s="16">
        <f>IF(OR($A56="",E56=""),"",G56*60/E56)</f>
        <v/>
      </c>
      <c r="K56" s="10">
        <f>IF($A56="","",COUNTIFS(互动记录!$B$5:$B$1004,$A56,互动记录!$C$5:$C$1004,"老板发送数据"))</f>
        <v/>
      </c>
      <c r="L56" s="17">
        <f>IF(OR($A56="",E56=""),"",MIN(1,K56/E56))</f>
        <v/>
      </c>
      <c r="M56" s="10">
        <f>IF($A56="","",COUNTIFS(互动记录!$B$5:$B$1004,$A56,互动记录!$C$5:$C$1004,"老板主动提问/提需求"))</f>
        <v/>
      </c>
      <c r="N56" s="10">
        <f>IF($A56="","",COUNTIFS(互动记录!$B$5:$B$1004,$A56,互动记录!$C$5:$C$1004,"周报已发送（未修改）")+COUNTIFS(互动记录!$B$5:$B$1004,$A56,互动记录!$C$5:$C$1004,"周报经修改后发送")+COUNTIFS(互动记录!$B$5:$B$1004,$A56,互动记录!$C$5:$C$1004,"周报退回重做"))</f>
        <v/>
      </c>
      <c r="O56" s="17">
        <f>IF(OR($A56="",N56=0),"",(COUNTIFS(互动记录!$B$5:$B$1004,$A56,互动记录!$C$5:$C$1004,"周报经修改后发送")+COUNTIFS(互动记录!$B$5:$B$1004,$A56,互动记录!$C$5:$C$1004,"周报退回重做"))/N56)</f>
        <v/>
      </c>
      <c r="P56" s="10">
        <f>IF($A56="","",COUNTIFS(互动记录!$B$5:$B$1004,$A56,互动记录!$C$5:$C$1004,"建议被采用"))</f>
        <v/>
      </c>
      <c r="Q56" s="10">
        <f>IF($A56="","",COUNTIFS(互动记录!$B$5:$B$1004,$A56,互动记录!$C$5:$C$1004,"增值/专项线索"))</f>
        <v/>
      </c>
      <c r="R56" s="10">
        <f>IF($A56="","",客户台账!N31)</f>
        <v/>
      </c>
      <c r="S56" s="10">
        <f>IF($A56="","",SUMIFS(支出记录!$E$5:$E$504,支出记录!$D$5:$D$504,$A56))</f>
        <v/>
      </c>
      <c r="T56" s="10">
        <f>IF(OR($A56="",I56=0),"",(R56-S56)/I56)</f>
        <v/>
      </c>
    </row>
    <row r="57">
      <c r="A57" s="9">
        <f>IF(客户台账!A32="","",客户台账!A32)</f>
        <v/>
      </c>
      <c r="B57" s="9">
        <f>IF($A57="","",客户台账!B32)</f>
        <v/>
      </c>
      <c r="C57" s="9">
        <f>IF($A57="","",客户台账!D32)</f>
        <v/>
      </c>
      <c r="D57" s="9">
        <f>IF($A57="","",客户台账!I32)</f>
        <v/>
      </c>
      <c r="E57" s="10">
        <f>IF(OR($A57="",客户台账!K32="",C57&lt;&gt;"会员线"),"",MAX(1,ROUNDUP((MIN(客户台账!L32,$B$3)-客户台账!K32+1)/7,0)))</f>
        <v/>
      </c>
      <c r="F57" s="16">
        <f>IF($A57="","",SUMIFS(工时记录!$I$5:$I$1004,工时记录!$B$5:$B$1004,$A57,工时记录!$K$5:$K$1004,"一次性")/60)</f>
        <v/>
      </c>
      <c r="G57" s="16">
        <f>IF($A57="","",SUMIFS(工时记录!$I$5:$I$1004,工时记录!$B$5:$B$1004,$A57,工时记录!$K$5:$K$1004,"维护")/60)</f>
        <v/>
      </c>
      <c r="H57" s="16">
        <f>IF($A57="","",SUMIFS(工时记录!$I$5:$I$1004,工时记录!$B$5:$B$1004,$A57,工时记录!$K$5:$K$1004,"专项")/60)</f>
        <v/>
      </c>
      <c r="I57" s="16">
        <f>IF($A57="","",SUMIFS(工时记录!$I$5:$I$1004,工时记录!$B$5:$B$1004,$A57)/60)</f>
        <v/>
      </c>
      <c r="J57" s="16">
        <f>IF(OR($A57="",E57=""),"",G57*60/E57)</f>
        <v/>
      </c>
      <c r="K57" s="10">
        <f>IF($A57="","",COUNTIFS(互动记录!$B$5:$B$1004,$A57,互动记录!$C$5:$C$1004,"老板发送数据"))</f>
        <v/>
      </c>
      <c r="L57" s="17">
        <f>IF(OR($A57="",E57=""),"",MIN(1,K57/E57))</f>
        <v/>
      </c>
      <c r="M57" s="10">
        <f>IF($A57="","",COUNTIFS(互动记录!$B$5:$B$1004,$A57,互动记录!$C$5:$C$1004,"老板主动提问/提需求"))</f>
        <v/>
      </c>
      <c r="N57" s="10">
        <f>IF($A57="","",COUNTIFS(互动记录!$B$5:$B$1004,$A57,互动记录!$C$5:$C$1004,"周报已发送（未修改）")+COUNTIFS(互动记录!$B$5:$B$1004,$A57,互动记录!$C$5:$C$1004,"周报经修改后发送")+COUNTIFS(互动记录!$B$5:$B$1004,$A57,互动记录!$C$5:$C$1004,"周报退回重做"))</f>
        <v/>
      </c>
      <c r="O57" s="17">
        <f>IF(OR($A57="",N57=0),"",(COUNTIFS(互动记录!$B$5:$B$1004,$A57,互动记录!$C$5:$C$1004,"周报经修改后发送")+COUNTIFS(互动记录!$B$5:$B$1004,$A57,互动记录!$C$5:$C$1004,"周报退回重做"))/N57)</f>
        <v/>
      </c>
      <c r="P57" s="10">
        <f>IF($A57="","",COUNTIFS(互动记录!$B$5:$B$1004,$A57,互动记录!$C$5:$C$1004,"建议被采用"))</f>
        <v/>
      </c>
      <c r="Q57" s="10">
        <f>IF($A57="","",COUNTIFS(互动记录!$B$5:$B$1004,$A57,互动记录!$C$5:$C$1004,"增值/专项线索"))</f>
        <v/>
      </c>
      <c r="R57" s="10">
        <f>IF($A57="","",客户台账!N32)</f>
        <v/>
      </c>
      <c r="S57" s="10">
        <f>IF($A57="","",SUMIFS(支出记录!$E$5:$E$504,支出记录!$D$5:$D$504,$A57))</f>
        <v/>
      </c>
      <c r="T57" s="10">
        <f>IF(OR($A57="",I57=0),"",(R57-S57)/I57)</f>
        <v/>
      </c>
    </row>
    <row r="58">
      <c r="A58" s="9">
        <f>IF(客户台账!A33="","",客户台账!A33)</f>
        <v/>
      </c>
      <c r="B58" s="9">
        <f>IF($A58="","",客户台账!B33)</f>
        <v/>
      </c>
      <c r="C58" s="9">
        <f>IF($A58="","",客户台账!D33)</f>
        <v/>
      </c>
      <c r="D58" s="9">
        <f>IF($A58="","",客户台账!I33)</f>
        <v/>
      </c>
      <c r="E58" s="10">
        <f>IF(OR($A58="",客户台账!K33="",C58&lt;&gt;"会员线"),"",MAX(1,ROUNDUP((MIN(客户台账!L33,$B$3)-客户台账!K33+1)/7,0)))</f>
        <v/>
      </c>
      <c r="F58" s="16">
        <f>IF($A58="","",SUMIFS(工时记录!$I$5:$I$1004,工时记录!$B$5:$B$1004,$A58,工时记录!$K$5:$K$1004,"一次性")/60)</f>
        <v/>
      </c>
      <c r="G58" s="16">
        <f>IF($A58="","",SUMIFS(工时记录!$I$5:$I$1004,工时记录!$B$5:$B$1004,$A58,工时记录!$K$5:$K$1004,"维护")/60)</f>
        <v/>
      </c>
      <c r="H58" s="16">
        <f>IF($A58="","",SUMIFS(工时记录!$I$5:$I$1004,工时记录!$B$5:$B$1004,$A58,工时记录!$K$5:$K$1004,"专项")/60)</f>
        <v/>
      </c>
      <c r="I58" s="16">
        <f>IF($A58="","",SUMIFS(工时记录!$I$5:$I$1004,工时记录!$B$5:$B$1004,$A58)/60)</f>
        <v/>
      </c>
      <c r="J58" s="16">
        <f>IF(OR($A58="",E58=""),"",G58*60/E58)</f>
        <v/>
      </c>
      <c r="K58" s="10">
        <f>IF($A58="","",COUNTIFS(互动记录!$B$5:$B$1004,$A58,互动记录!$C$5:$C$1004,"老板发送数据"))</f>
        <v/>
      </c>
      <c r="L58" s="17">
        <f>IF(OR($A58="",E58=""),"",MIN(1,K58/E58))</f>
        <v/>
      </c>
      <c r="M58" s="10">
        <f>IF($A58="","",COUNTIFS(互动记录!$B$5:$B$1004,$A58,互动记录!$C$5:$C$1004,"老板主动提问/提需求"))</f>
        <v/>
      </c>
      <c r="N58" s="10">
        <f>IF($A58="","",COUNTIFS(互动记录!$B$5:$B$1004,$A58,互动记录!$C$5:$C$1004,"周报已发送（未修改）")+COUNTIFS(互动记录!$B$5:$B$1004,$A58,互动记录!$C$5:$C$1004,"周报经修改后发送")+COUNTIFS(互动记录!$B$5:$B$1004,$A58,互动记录!$C$5:$C$1004,"周报退回重做"))</f>
        <v/>
      </c>
      <c r="O58" s="17">
        <f>IF(OR($A58="",N58=0),"",(COUNTIFS(互动记录!$B$5:$B$1004,$A58,互动记录!$C$5:$C$1004,"周报经修改后发送")+COUNTIFS(互动记录!$B$5:$B$1004,$A58,互动记录!$C$5:$C$1004,"周报退回重做"))/N58)</f>
        <v/>
      </c>
      <c r="P58" s="10">
        <f>IF($A58="","",COUNTIFS(互动记录!$B$5:$B$1004,$A58,互动记录!$C$5:$C$1004,"建议被采用"))</f>
        <v/>
      </c>
      <c r="Q58" s="10">
        <f>IF($A58="","",COUNTIFS(互动记录!$B$5:$B$1004,$A58,互动记录!$C$5:$C$1004,"增值/专项线索"))</f>
        <v/>
      </c>
      <c r="R58" s="10">
        <f>IF($A58="","",客户台账!N33)</f>
        <v/>
      </c>
      <c r="S58" s="10">
        <f>IF($A58="","",SUMIFS(支出记录!$E$5:$E$504,支出记录!$D$5:$D$504,$A58))</f>
        <v/>
      </c>
      <c r="T58" s="10">
        <f>IF(OR($A58="",I58=0),"",(R58-S58)/I58)</f>
        <v/>
      </c>
    </row>
    <row r="59">
      <c r="A59" s="9">
        <f>IF(客户台账!A34="","",客户台账!A34)</f>
        <v/>
      </c>
      <c r="B59" s="9">
        <f>IF($A59="","",客户台账!B34)</f>
        <v/>
      </c>
      <c r="C59" s="9">
        <f>IF($A59="","",客户台账!D34)</f>
        <v/>
      </c>
      <c r="D59" s="9">
        <f>IF($A59="","",客户台账!I34)</f>
        <v/>
      </c>
      <c r="E59" s="10">
        <f>IF(OR($A59="",客户台账!K34="",C59&lt;&gt;"会员线"),"",MAX(1,ROUNDUP((MIN(客户台账!L34,$B$3)-客户台账!K34+1)/7,0)))</f>
        <v/>
      </c>
      <c r="F59" s="16">
        <f>IF($A59="","",SUMIFS(工时记录!$I$5:$I$1004,工时记录!$B$5:$B$1004,$A59,工时记录!$K$5:$K$1004,"一次性")/60)</f>
        <v/>
      </c>
      <c r="G59" s="16">
        <f>IF($A59="","",SUMIFS(工时记录!$I$5:$I$1004,工时记录!$B$5:$B$1004,$A59,工时记录!$K$5:$K$1004,"维护")/60)</f>
        <v/>
      </c>
      <c r="H59" s="16">
        <f>IF($A59="","",SUMIFS(工时记录!$I$5:$I$1004,工时记录!$B$5:$B$1004,$A59,工时记录!$K$5:$K$1004,"专项")/60)</f>
        <v/>
      </c>
      <c r="I59" s="16">
        <f>IF($A59="","",SUMIFS(工时记录!$I$5:$I$1004,工时记录!$B$5:$B$1004,$A59)/60)</f>
        <v/>
      </c>
      <c r="J59" s="16">
        <f>IF(OR($A59="",E59=""),"",G59*60/E59)</f>
        <v/>
      </c>
      <c r="K59" s="10">
        <f>IF($A59="","",COUNTIFS(互动记录!$B$5:$B$1004,$A59,互动记录!$C$5:$C$1004,"老板发送数据"))</f>
        <v/>
      </c>
      <c r="L59" s="17">
        <f>IF(OR($A59="",E59=""),"",MIN(1,K59/E59))</f>
        <v/>
      </c>
      <c r="M59" s="10">
        <f>IF($A59="","",COUNTIFS(互动记录!$B$5:$B$1004,$A59,互动记录!$C$5:$C$1004,"老板主动提问/提需求"))</f>
        <v/>
      </c>
      <c r="N59" s="10">
        <f>IF($A59="","",COUNTIFS(互动记录!$B$5:$B$1004,$A59,互动记录!$C$5:$C$1004,"周报已发送（未修改）")+COUNTIFS(互动记录!$B$5:$B$1004,$A59,互动记录!$C$5:$C$1004,"周报经修改后发送")+COUNTIFS(互动记录!$B$5:$B$1004,$A59,互动记录!$C$5:$C$1004,"周报退回重做"))</f>
        <v/>
      </c>
      <c r="O59" s="17">
        <f>IF(OR($A59="",N59=0),"",(COUNTIFS(互动记录!$B$5:$B$1004,$A59,互动记录!$C$5:$C$1004,"周报经修改后发送")+COUNTIFS(互动记录!$B$5:$B$1004,$A59,互动记录!$C$5:$C$1004,"周报退回重做"))/N59)</f>
        <v/>
      </c>
      <c r="P59" s="10">
        <f>IF($A59="","",COUNTIFS(互动记录!$B$5:$B$1004,$A59,互动记录!$C$5:$C$1004,"建议被采用"))</f>
        <v/>
      </c>
      <c r="Q59" s="10">
        <f>IF($A59="","",COUNTIFS(互动记录!$B$5:$B$1004,$A59,互动记录!$C$5:$C$1004,"增值/专项线索"))</f>
        <v/>
      </c>
      <c r="R59" s="10">
        <f>IF($A59="","",客户台账!N34)</f>
        <v/>
      </c>
      <c r="S59" s="10">
        <f>IF($A59="","",SUMIFS(支出记录!$E$5:$E$504,支出记录!$D$5:$D$504,$A59))</f>
        <v/>
      </c>
      <c r="T59" s="10">
        <f>IF(OR($A59="",I59=0),"",(R59-S59)/I59)</f>
        <v/>
      </c>
    </row>
    <row r="60">
      <c r="A60" s="9">
        <f>IF(客户台账!A35="","",客户台账!A35)</f>
        <v/>
      </c>
      <c r="B60" s="9">
        <f>IF($A60="","",客户台账!B35)</f>
        <v/>
      </c>
      <c r="C60" s="9">
        <f>IF($A60="","",客户台账!D35)</f>
        <v/>
      </c>
      <c r="D60" s="9">
        <f>IF($A60="","",客户台账!I35)</f>
        <v/>
      </c>
      <c r="E60" s="10">
        <f>IF(OR($A60="",客户台账!K35="",C60&lt;&gt;"会员线"),"",MAX(1,ROUNDUP((MIN(客户台账!L35,$B$3)-客户台账!K35+1)/7,0)))</f>
        <v/>
      </c>
      <c r="F60" s="16">
        <f>IF($A60="","",SUMIFS(工时记录!$I$5:$I$1004,工时记录!$B$5:$B$1004,$A60,工时记录!$K$5:$K$1004,"一次性")/60)</f>
        <v/>
      </c>
      <c r="G60" s="16">
        <f>IF($A60="","",SUMIFS(工时记录!$I$5:$I$1004,工时记录!$B$5:$B$1004,$A60,工时记录!$K$5:$K$1004,"维护")/60)</f>
        <v/>
      </c>
      <c r="H60" s="16">
        <f>IF($A60="","",SUMIFS(工时记录!$I$5:$I$1004,工时记录!$B$5:$B$1004,$A60,工时记录!$K$5:$K$1004,"专项")/60)</f>
        <v/>
      </c>
      <c r="I60" s="16">
        <f>IF($A60="","",SUMIFS(工时记录!$I$5:$I$1004,工时记录!$B$5:$B$1004,$A60)/60)</f>
        <v/>
      </c>
      <c r="J60" s="16">
        <f>IF(OR($A60="",E60=""),"",G60*60/E60)</f>
        <v/>
      </c>
      <c r="K60" s="10">
        <f>IF($A60="","",COUNTIFS(互动记录!$B$5:$B$1004,$A60,互动记录!$C$5:$C$1004,"老板发送数据"))</f>
        <v/>
      </c>
      <c r="L60" s="17">
        <f>IF(OR($A60="",E60=""),"",MIN(1,K60/E60))</f>
        <v/>
      </c>
      <c r="M60" s="10">
        <f>IF($A60="","",COUNTIFS(互动记录!$B$5:$B$1004,$A60,互动记录!$C$5:$C$1004,"老板主动提问/提需求"))</f>
        <v/>
      </c>
      <c r="N60" s="10">
        <f>IF($A60="","",COUNTIFS(互动记录!$B$5:$B$1004,$A60,互动记录!$C$5:$C$1004,"周报已发送（未修改）")+COUNTIFS(互动记录!$B$5:$B$1004,$A60,互动记录!$C$5:$C$1004,"周报经修改后发送")+COUNTIFS(互动记录!$B$5:$B$1004,$A60,互动记录!$C$5:$C$1004,"周报退回重做"))</f>
        <v/>
      </c>
      <c r="O60" s="17">
        <f>IF(OR($A60="",N60=0),"",(COUNTIFS(互动记录!$B$5:$B$1004,$A60,互动记录!$C$5:$C$1004,"周报经修改后发送")+COUNTIFS(互动记录!$B$5:$B$1004,$A60,互动记录!$C$5:$C$1004,"周报退回重做"))/N60)</f>
        <v/>
      </c>
      <c r="P60" s="10">
        <f>IF($A60="","",COUNTIFS(互动记录!$B$5:$B$1004,$A60,互动记录!$C$5:$C$1004,"建议被采用"))</f>
        <v/>
      </c>
      <c r="Q60" s="10">
        <f>IF($A60="","",COUNTIFS(互动记录!$B$5:$B$1004,$A60,互动记录!$C$5:$C$1004,"增值/专项线索"))</f>
        <v/>
      </c>
      <c r="R60" s="10">
        <f>IF($A60="","",客户台账!N35)</f>
        <v/>
      </c>
      <c r="S60" s="10">
        <f>IF($A60="","",SUMIFS(支出记录!$E$5:$E$504,支出记录!$D$5:$D$504,$A60))</f>
        <v/>
      </c>
      <c r="T60" s="10">
        <f>IF(OR($A60="",I60=0),"",(R60-S60)/I60)</f>
        <v/>
      </c>
    </row>
    <row r="61">
      <c r="A61" s="9">
        <f>IF(客户台账!A36="","",客户台账!A36)</f>
        <v/>
      </c>
      <c r="B61" s="9">
        <f>IF($A61="","",客户台账!B36)</f>
        <v/>
      </c>
      <c r="C61" s="9">
        <f>IF($A61="","",客户台账!D36)</f>
        <v/>
      </c>
      <c r="D61" s="9">
        <f>IF($A61="","",客户台账!I36)</f>
        <v/>
      </c>
      <c r="E61" s="10">
        <f>IF(OR($A61="",客户台账!K36="",C61&lt;&gt;"会员线"),"",MAX(1,ROUNDUP((MIN(客户台账!L36,$B$3)-客户台账!K36+1)/7,0)))</f>
        <v/>
      </c>
      <c r="F61" s="16">
        <f>IF($A61="","",SUMIFS(工时记录!$I$5:$I$1004,工时记录!$B$5:$B$1004,$A61,工时记录!$K$5:$K$1004,"一次性")/60)</f>
        <v/>
      </c>
      <c r="G61" s="16">
        <f>IF($A61="","",SUMIFS(工时记录!$I$5:$I$1004,工时记录!$B$5:$B$1004,$A61,工时记录!$K$5:$K$1004,"维护")/60)</f>
        <v/>
      </c>
      <c r="H61" s="16">
        <f>IF($A61="","",SUMIFS(工时记录!$I$5:$I$1004,工时记录!$B$5:$B$1004,$A61,工时记录!$K$5:$K$1004,"专项")/60)</f>
        <v/>
      </c>
      <c r="I61" s="16">
        <f>IF($A61="","",SUMIFS(工时记录!$I$5:$I$1004,工时记录!$B$5:$B$1004,$A61)/60)</f>
        <v/>
      </c>
      <c r="J61" s="16">
        <f>IF(OR($A61="",E61=""),"",G61*60/E61)</f>
        <v/>
      </c>
      <c r="K61" s="10">
        <f>IF($A61="","",COUNTIFS(互动记录!$B$5:$B$1004,$A61,互动记录!$C$5:$C$1004,"老板发送数据"))</f>
        <v/>
      </c>
      <c r="L61" s="17">
        <f>IF(OR($A61="",E61=""),"",MIN(1,K61/E61))</f>
        <v/>
      </c>
      <c r="M61" s="10">
        <f>IF($A61="","",COUNTIFS(互动记录!$B$5:$B$1004,$A61,互动记录!$C$5:$C$1004,"老板主动提问/提需求"))</f>
        <v/>
      </c>
      <c r="N61" s="10">
        <f>IF($A61="","",COUNTIFS(互动记录!$B$5:$B$1004,$A61,互动记录!$C$5:$C$1004,"周报已发送（未修改）")+COUNTIFS(互动记录!$B$5:$B$1004,$A61,互动记录!$C$5:$C$1004,"周报经修改后发送")+COUNTIFS(互动记录!$B$5:$B$1004,$A61,互动记录!$C$5:$C$1004,"周报退回重做"))</f>
        <v/>
      </c>
      <c r="O61" s="17">
        <f>IF(OR($A61="",N61=0),"",(COUNTIFS(互动记录!$B$5:$B$1004,$A61,互动记录!$C$5:$C$1004,"周报经修改后发送")+COUNTIFS(互动记录!$B$5:$B$1004,$A61,互动记录!$C$5:$C$1004,"周报退回重做"))/N61)</f>
        <v/>
      </c>
      <c r="P61" s="10">
        <f>IF($A61="","",COUNTIFS(互动记录!$B$5:$B$1004,$A61,互动记录!$C$5:$C$1004,"建议被采用"))</f>
        <v/>
      </c>
      <c r="Q61" s="10">
        <f>IF($A61="","",COUNTIFS(互动记录!$B$5:$B$1004,$A61,互动记录!$C$5:$C$1004,"增值/专项线索"))</f>
        <v/>
      </c>
      <c r="R61" s="10">
        <f>IF($A61="","",客户台账!N36)</f>
        <v/>
      </c>
      <c r="S61" s="10">
        <f>IF($A61="","",SUMIFS(支出记录!$E$5:$E$504,支出记录!$D$5:$D$504,$A61))</f>
        <v/>
      </c>
      <c r="T61" s="10">
        <f>IF(OR($A61="",I61=0),"",(R61-S61)/I61)</f>
        <v/>
      </c>
    </row>
    <row r="62">
      <c r="A62" s="9">
        <f>IF(客户台账!A37="","",客户台账!A37)</f>
        <v/>
      </c>
      <c r="B62" s="9">
        <f>IF($A62="","",客户台账!B37)</f>
        <v/>
      </c>
      <c r="C62" s="9">
        <f>IF($A62="","",客户台账!D37)</f>
        <v/>
      </c>
      <c r="D62" s="9">
        <f>IF($A62="","",客户台账!I37)</f>
        <v/>
      </c>
      <c r="E62" s="10">
        <f>IF(OR($A62="",客户台账!K37="",C62&lt;&gt;"会员线"),"",MAX(1,ROUNDUP((MIN(客户台账!L37,$B$3)-客户台账!K37+1)/7,0)))</f>
        <v/>
      </c>
      <c r="F62" s="16">
        <f>IF($A62="","",SUMIFS(工时记录!$I$5:$I$1004,工时记录!$B$5:$B$1004,$A62,工时记录!$K$5:$K$1004,"一次性")/60)</f>
        <v/>
      </c>
      <c r="G62" s="16">
        <f>IF($A62="","",SUMIFS(工时记录!$I$5:$I$1004,工时记录!$B$5:$B$1004,$A62,工时记录!$K$5:$K$1004,"维护")/60)</f>
        <v/>
      </c>
      <c r="H62" s="16">
        <f>IF($A62="","",SUMIFS(工时记录!$I$5:$I$1004,工时记录!$B$5:$B$1004,$A62,工时记录!$K$5:$K$1004,"专项")/60)</f>
        <v/>
      </c>
      <c r="I62" s="16">
        <f>IF($A62="","",SUMIFS(工时记录!$I$5:$I$1004,工时记录!$B$5:$B$1004,$A62)/60)</f>
        <v/>
      </c>
      <c r="J62" s="16">
        <f>IF(OR($A62="",E62=""),"",G62*60/E62)</f>
        <v/>
      </c>
      <c r="K62" s="10">
        <f>IF($A62="","",COUNTIFS(互动记录!$B$5:$B$1004,$A62,互动记录!$C$5:$C$1004,"老板发送数据"))</f>
        <v/>
      </c>
      <c r="L62" s="17">
        <f>IF(OR($A62="",E62=""),"",MIN(1,K62/E62))</f>
        <v/>
      </c>
      <c r="M62" s="10">
        <f>IF($A62="","",COUNTIFS(互动记录!$B$5:$B$1004,$A62,互动记录!$C$5:$C$1004,"老板主动提问/提需求"))</f>
        <v/>
      </c>
      <c r="N62" s="10">
        <f>IF($A62="","",COUNTIFS(互动记录!$B$5:$B$1004,$A62,互动记录!$C$5:$C$1004,"周报已发送（未修改）")+COUNTIFS(互动记录!$B$5:$B$1004,$A62,互动记录!$C$5:$C$1004,"周报经修改后发送")+COUNTIFS(互动记录!$B$5:$B$1004,$A62,互动记录!$C$5:$C$1004,"周报退回重做"))</f>
        <v/>
      </c>
      <c r="O62" s="17">
        <f>IF(OR($A62="",N62=0),"",(COUNTIFS(互动记录!$B$5:$B$1004,$A62,互动记录!$C$5:$C$1004,"周报经修改后发送")+COUNTIFS(互动记录!$B$5:$B$1004,$A62,互动记录!$C$5:$C$1004,"周报退回重做"))/N62)</f>
        <v/>
      </c>
      <c r="P62" s="10">
        <f>IF($A62="","",COUNTIFS(互动记录!$B$5:$B$1004,$A62,互动记录!$C$5:$C$1004,"建议被采用"))</f>
        <v/>
      </c>
      <c r="Q62" s="10">
        <f>IF($A62="","",COUNTIFS(互动记录!$B$5:$B$1004,$A62,互动记录!$C$5:$C$1004,"增值/专项线索"))</f>
        <v/>
      </c>
      <c r="R62" s="10">
        <f>IF($A62="","",客户台账!N37)</f>
        <v/>
      </c>
      <c r="S62" s="10">
        <f>IF($A62="","",SUMIFS(支出记录!$E$5:$E$504,支出记录!$D$5:$D$504,$A62))</f>
        <v/>
      </c>
      <c r="T62" s="10">
        <f>IF(OR($A62="",I62=0),"",(R62-S62)/I62)</f>
        <v/>
      </c>
    </row>
    <row r="63">
      <c r="A63" s="9">
        <f>IF(客户台账!A38="","",客户台账!A38)</f>
        <v/>
      </c>
      <c r="B63" s="9">
        <f>IF($A63="","",客户台账!B38)</f>
        <v/>
      </c>
      <c r="C63" s="9">
        <f>IF($A63="","",客户台账!D38)</f>
        <v/>
      </c>
      <c r="D63" s="9">
        <f>IF($A63="","",客户台账!I38)</f>
        <v/>
      </c>
      <c r="E63" s="10">
        <f>IF(OR($A63="",客户台账!K38="",C63&lt;&gt;"会员线"),"",MAX(1,ROUNDUP((MIN(客户台账!L38,$B$3)-客户台账!K38+1)/7,0)))</f>
        <v/>
      </c>
      <c r="F63" s="16">
        <f>IF($A63="","",SUMIFS(工时记录!$I$5:$I$1004,工时记录!$B$5:$B$1004,$A63,工时记录!$K$5:$K$1004,"一次性")/60)</f>
        <v/>
      </c>
      <c r="G63" s="16">
        <f>IF($A63="","",SUMIFS(工时记录!$I$5:$I$1004,工时记录!$B$5:$B$1004,$A63,工时记录!$K$5:$K$1004,"维护")/60)</f>
        <v/>
      </c>
      <c r="H63" s="16">
        <f>IF($A63="","",SUMIFS(工时记录!$I$5:$I$1004,工时记录!$B$5:$B$1004,$A63,工时记录!$K$5:$K$1004,"专项")/60)</f>
        <v/>
      </c>
      <c r="I63" s="16">
        <f>IF($A63="","",SUMIFS(工时记录!$I$5:$I$1004,工时记录!$B$5:$B$1004,$A63)/60)</f>
        <v/>
      </c>
      <c r="J63" s="16">
        <f>IF(OR($A63="",E63=""),"",G63*60/E63)</f>
        <v/>
      </c>
      <c r="K63" s="10">
        <f>IF($A63="","",COUNTIFS(互动记录!$B$5:$B$1004,$A63,互动记录!$C$5:$C$1004,"老板发送数据"))</f>
        <v/>
      </c>
      <c r="L63" s="17">
        <f>IF(OR($A63="",E63=""),"",MIN(1,K63/E63))</f>
        <v/>
      </c>
      <c r="M63" s="10">
        <f>IF($A63="","",COUNTIFS(互动记录!$B$5:$B$1004,$A63,互动记录!$C$5:$C$1004,"老板主动提问/提需求"))</f>
        <v/>
      </c>
      <c r="N63" s="10">
        <f>IF($A63="","",COUNTIFS(互动记录!$B$5:$B$1004,$A63,互动记录!$C$5:$C$1004,"周报已发送（未修改）")+COUNTIFS(互动记录!$B$5:$B$1004,$A63,互动记录!$C$5:$C$1004,"周报经修改后发送")+COUNTIFS(互动记录!$B$5:$B$1004,$A63,互动记录!$C$5:$C$1004,"周报退回重做"))</f>
        <v/>
      </c>
      <c r="O63" s="17">
        <f>IF(OR($A63="",N63=0),"",(COUNTIFS(互动记录!$B$5:$B$1004,$A63,互动记录!$C$5:$C$1004,"周报经修改后发送")+COUNTIFS(互动记录!$B$5:$B$1004,$A63,互动记录!$C$5:$C$1004,"周报退回重做"))/N63)</f>
        <v/>
      </c>
      <c r="P63" s="10">
        <f>IF($A63="","",COUNTIFS(互动记录!$B$5:$B$1004,$A63,互动记录!$C$5:$C$1004,"建议被采用"))</f>
        <v/>
      </c>
      <c r="Q63" s="10">
        <f>IF($A63="","",COUNTIFS(互动记录!$B$5:$B$1004,$A63,互动记录!$C$5:$C$1004,"增值/专项线索"))</f>
        <v/>
      </c>
      <c r="R63" s="10">
        <f>IF($A63="","",客户台账!N38)</f>
        <v/>
      </c>
      <c r="S63" s="10">
        <f>IF($A63="","",SUMIFS(支出记录!$E$5:$E$504,支出记录!$D$5:$D$504,$A63))</f>
        <v/>
      </c>
      <c r="T63" s="10">
        <f>IF(OR($A63="",I63=0),"",(R63-S63)/I63)</f>
        <v/>
      </c>
    </row>
    <row r="64">
      <c r="A64" s="9">
        <f>IF(客户台账!A39="","",客户台账!A39)</f>
        <v/>
      </c>
      <c r="B64" s="9">
        <f>IF($A64="","",客户台账!B39)</f>
        <v/>
      </c>
      <c r="C64" s="9">
        <f>IF($A64="","",客户台账!D39)</f>
        <v/>
      </c>
      <c r="D64" s="9">
        <f>IF($A64="","",客户台账!I39)</f>
        <v/>
      </c>
      <c r="E64" s="10">
        <f>IF(OR($A64="",客户台账!K39="",C64&lt;&gt;"会员线"),"",MAX(1,ROUNDUP((MIN(客户台账!L39,$B$3)-客户台账!K39+1)/7,0)))</f>
        <v/>
      </c>
      <c r="F64" s="16">
        <f>IF($A64="","",SUMIFS(工时记录!$I$5:$I$1004,工时记录!$B$5:$B$1004,$A64,工时记录!$K$5:$K$1004,"一次性")/60)</f>
        <v/>
      </c>
      <c r="G64" s="16">
        <f>IF($A64="","",SUMIFS(工时记录!$I$5:$I$1004,工时记录!$B$5:$B$1004,$A64,工时记录!$K$5:$K$1004,"维护")/60)</f>
        <v/>
      </c>
      <c r="H64" s="16">
        <f>IF($A64="","",SUMIFS(工时记录!$I$5:$I$1004,工时记录!$B$5:$B$1004,$A64,工时记录!$K$5:$K$1004,"专项")/60)</f>
        <v/>
      </c>
      <c r="I64" s="16">
        <f>IF($A64="","",SUMIFS(工时记录!$I$5:$I$1004,工时记录!$B$5:$B$1004,$A64)/60)</f>
        <v/>
      </c>
      <c r="J64" s="16">
        <f>IF(OR($A64="",E64=""),"",G64*60/E64)</f>
        <v/>
      </c>
      <c r="K64" s="10">
        <f>IF($A64="","",COUNTIFS(互动记录!$B$5:$B$1004,$A64,互动记录!$C$5:$C$1004,"老板发送数据"))</f>
        <v/>
      </c>
      <c r="L64" s="17">
        <f>IF(OR($A64="",E64=""),"",MIN(1,K64/E64))</f>
        <v/>
      </c>
      <c r="M64" s="10">
        <f>IF($A64="","",COUNTIFS(互动记录!$B$5:$B$1004,$A64,互动记录!$C$5:$C$1004,"老板主动提问/提需求"))</f>
        <v/>
      </c>
      <c r="N64" s="10">
        <f>IF($A64="","",COUNTIFS(互动记录!$B$5:$B$1004,$A64,互动记录!$C$5:$C$1004,"周报已发送（未修改）")+COUNTIFS(互动记录!$B$5:$B$1004,$A64,互动记录!$C$5:$C$1004,"周报经修改后发送")+COUNTIFS(互动记录!$B$5:$B$1004,$A64,互动记录!$C$5:$C$1004,"周报退回重做"))</f>
        <v/>
      </c>
      <c r="O64" s="17">
        <f>IF(OR($A64="",N64=0),"",(COUNTIFS(互动记录!$B$5:$B$1004,$A64,互动记录!$C$5:$C$1004,"周报经修改后发送")+COUNTIFS(互动记录!$B$5:$B$1004,$A64,互动记录!$C$5:$C$1004,"周报退回重做"))/N64)</f>
        <v/>
      </c>
      <c r="P64" s="10">
        <f>IF($A64="","",COUNTIFS(互动记录!$B$5:$B$1004,$A64,互动记录!$C$5:$C$1004,"建议被采用"))</f>
        <v/>
      </c>
      <c r="Q64" s="10">
        <f>IF($A64="","",COUNTIFS(互动记录!$B$5:$B$1004,$A64,互动记录!$C$5:$C$1004,"增值/专项线索"))</f>
        <v/>
      </c>
      <c r="R64" s="10">
        <f>IF($A64="","",客户台账!N39)</f>
        <v/>
      </c>
      <c r="S64" s="10">
        <f>IF($A64="","",SUMIFS(支出记录!$E$5:$E$504,支出记录!$D$5:$D$504,$A64))</f>
        <v/>
      </c>
      <c r="T64" s="10">
        <f>IF(OR($A64="",I64=0),"",(R64-S64)/I64)</f>
        <v/>
      </c>
    </row>
    <row r="65">
      <c r="A65" s="9">
        <f>IF(客户台账!A40="","",客户台账!A40)</f>
        <v/>
      </c>
      <c r="B65" s="9">
        <f>IF($A65="","",客户台账!B40)</f>
        <v/>
      </c>
      <c r="C65" s="9">
        <f>IF($A65="","",客户台账!D40)</f>
        <v/>
      </c>
      <c r="D65" s="9">
        <f>IF($A65="","",客户台账!I40)</f>
        <v/>
      </c>
      <c r="E65" s="10">
        <f>IF(OR($A65="",客户台账!K40="",C65&lt;&gt;"会员线"),"",MAX(1,ROUNDUP((MIN(客户台账!L40,$B$3)-客户台账!K40+1)/7,0)))</f>
        <v/>
      </c>
      <c r="F65" s="16">
        <f>IF($A65="","",SUMIFS(工时记录!$I$5:$I$1004,工时记录!$B$5:$B$1004,$A65,工时记录!$K$5:$K$1004,"一次性")/60)</f>
        <v/>
      </c>
      <c r="G65" s="16">
        <f>IF($A65="","",SUMIFS(工时记录!$I$5:$I$1004,工时记录!$B$5:$B$1004,$A65,工时记录!$K$5:$K$1004,"维护")/60)</f>
        <v/>
      </c>
      <c r="H65" s="16">
        <f>IF($A65="","",SUMIFS(工时记录!$I$5:$I$1004,工时记录!$B$5:$B$1004,$A65,工时记录!$K$5:$K$1004,"专项")/60)</f>
        <v/>
      </c>
      <c r="I65" s="16">
        <f>IF($A65="","",SUMIFS(工时记录!$I$5:$I$1004,工时记录!$B$5:$B$1004,$A65)/60)</f>
        <v/>
      </c>
      <c r="J65" s="16">
        <f>IF(OR($A65="",E65=""),"",G65*60/E65)</f>
        <v/>
      </c>
      <c r="K65" s="10">
        <f>IF($A65="","",COUNTIFS(互动记录!$B$5:$B$1004,$A65,互动记录!$C$5:$C$1004,"老板发送数据"))</f>
        <v/>
      </c>
      <c r="L65" s="17">
        <f>IF(OR($A65="",E65=""),"",MIN(1,K65/E65))</f>
        <v/>
      </c>
      <c r="M65" s="10">
        <f>IF($A65="","",COUNTIFS(互动记录!$B$5:$B$1004,$A65,互动记录!$C$5:$C$1004,"老板主动提问/提需求"))</f>
        <v/>
      </c>
      <c r="N65" s="10">
        <f>IF($A65="","",COUNTIFS(互动记录!$B$5:$B$1004,$A65,互动记录!$C$5:$C$1004,"周报已发送（未修改）")+COUNTIFS(互动记录!$B$5:$B$1004,$A65,互动记录!$C$5:$C$1004,"周报经修改后发送")+COUNTIFS(互动记录!$B$5:$B$1004,$A65,互动记录!$C$5:$C$1004,"周报退回重做"))</f>
        <v/>
      </c>
      <c r="O65" s="17">
        <f>IF(OR($A65="",N65=0),"",(COUNTIFS(互动记录!$B$5:$B$1004,$A65,互动记录!$C$5:$C$1004,"周报经修改后发送")+COUNTIFS(互动记录!$B$5:$B$1004,$A65,互动记录!$C$5:$C$1004,"周报退回重做"))/N65)</f>
        <v/>
      </c>
      <c r="P65" s="10">
        <f>IF($A65="","",COUNTIFS(互动记录!$B$5:$B$1004,$A65,互动记录!$C$5:$C$1004,"建议被采用"))</f>
        <v/>
      </c>
      <c r="Q65" s="10">
        <f>IF($A65="","",COUNTIFS(互动记录!$B$5:$B$1004,$A65,互动记录!$C$5:$C$1004,"增值/专项线索"))</f>
        <v/>
      </c>
      <c r="R65" s="10">
        <f>IF($A65="","",客户台账!N40)</f>
        <v/>
      </c>
      <c r="S65" s="10">
        <f>IF($A65="","",SUMIFS(支出记录!$E$5:$E$504,支出记录!$D$5:$D$504,$A65))</f>
        <v/>
      </c>
      <c r="T65" s="10">
        <f>IF(OR($A65="",I65=0),"",(R65-S65)/I65)</f>
        <v/>
      </c>
    </row>
    <row r="66">
      <c r="A66" s="9">
        <f>IF(客户台账!A41="","",客户台账!A41)</f>
        <v/>
      </c>
      <c r="B66" s="9">
        <f>IF($A66="","",客户台账!B41)</f>
        <v/>
      </c>
      <c r="C66" s="9">
        <f>IF($A66="","",客户台账!D41)</f>
        <v/>
      </c>
      <c r="D66" s="9">
        <f>IF($A66="","",客户台账!I41)</f>
        <v/>
      </c>
      <c r="E66" s="10">
        <f>IF(OR($A66="",客户台账!K41="",C66&lt;&gt;"会员线"),"",MAX(1,ROUNDUP((MIN(客户台账!L41,$B$3)-客户台账!K41+1)/7,0)))</f>
        <v/>
      </c>
      <c r="F66" s="16">
        <f>IF($A66="","",SUMIFS(工时记录!$I$5:$I$1004,工时记录!$B$5:$B$1004,$A66,工时记录!$K$5:$K$1004,"一次性")/60)</f>
        <v/>
      </c>
      <c r="G66" s="16">
        <f>IF($A66="","",SUMIFS(工时记录!$I$5:$I$1004,工时记录!$B$5:$B$1004,$A66,工时记录!$K$5:$K$1004,"维护")/60)</f>
        <v/>
      </c>
      <c r="H66" s="16">
        <f>IF($A66="","",SUMIFS(工时记录!$I$5:$I$1004,工时记录!$B$5:$B$1004,$A66,工时记录!$K$5:$K$1004,"专项")/60)</f>
        <v/>
      </c>
      <c r="I66" s="16">
        <f>IF($A66="","",SUMIFS(工时记录!$I$5:$I$1004,工时记录!$B$5:$B$1004,$A66)/60)</f>
        <v/>
      </c>
      <c r="J66" s="16">
        <f>IF(OR($A66="",E66=""),"",G66*60/E66)</f>
        <v/>
      </c>
      <c r="K66" s="10">
        <f>IF($A66="","",COUNTIFS(互动记录!$B$5:$B$1004,$A66,互动记录!$C$5:$C$1004,"老板发送数据"))</f>
        <v/>
      </c>
      <c r="L66" s="17">
        <f>IF(OR($A66="",E66=""),"",MIN(1,K66/E66))</f>
        <v/>
      </c>
      <c r="M66" s="10">
        <f>IF($A66="","",COUNTIFS(互动记录!$B$5:$B$1004,$A66,互动记录!$C$5:$C$1004,"老板主动提问/提需求"))</f>
        <v/>
      </c>
      <c r="N66" s="10">
        <f>IF($A66="","",COUNTIFS(互动记录!$B$5:$B$1004,$A66,互动记录!$C$5:$C$1004,"周报已发送（未修改）")+COUNTIFS(互动记录!$B$5:$B$1004,$A66,互动记录!$C$5:$C$1004,"周报经修改后发送")+COUNTIFS(互动记录!$B$5:$B$1004,$A66,互动记录!$C$5:$C$1004,"周报退回重做"))</f>
        <v/>
      </c>
      <c r="O66" s="17">
        <f>IF(OR($A66="",N66=0),"",(COUNTIFS(互动记录!$B$5:$B$1004,$A66,互动记录!$C$5:$C$1004,"周报经修改后发送")+COUNTIFS(互动记录!$B$5:$B$1004,$A66,互动记录!$C$5:$C$1004,"周报退回重做"))/N66)</f>
        <v/>
      </c>
      <c r="P66" s="10">
        <f>IF($A66="","",COUNTIFS(互动记录!$B$5:$B$1004,$A66,互动记录!$C$5:$C$1004,"建议被采用"))</f>
        <v/>
      </c>
      <c r="Q66" s="10">
        <f>IF($A66="","",COUNTIFS(互动记录!$B$5:$B$1004,$A66,互动记录!$C$5:$C$1004,"增值/专项线索"))</f>
        <v/>
      </c>
      <c r="R66" s="10">
        <f>IF($A66="","",客户台账!N41)</f>
        <v/>
      </c>
      <c r="S66" s="10">
        <f>IF($A66="","",SUMIFS(支出记录!$E$5:$E$504,支出记录!$D$5:$D$504,$A66))</f>
        <v/>
      </c>
      <c r="T66" s="10">
        <f>IF(OR($A66="",I66=0),"",(R66-S66)/I66)</f>
        <v/>
      </c>
    </row>
    <row r="67">
      <c r="A67" s="9">
        <f>IF(客户台账!A42="","",客户台账!A42)</f>
        <v/>
      </c>
      <c r="B67" s="9">
        <f>IF($A67="","",客户台账!B42)</f>
        <v/>
      </c>
      <c r="C67" s="9">
        <f>IF($A67="","",客户台账!D42)</f>
        <v/>
      </c>
      <c r="D67" s="9">
        <f>IF($A67="","",客户台账!I42)</f>
        <v/>
      </c>
      <c r="E67" s="10">
        <f>IF(OR($A67="",客户台账!K42="",C67&lt;&gt;"会员线"),"",MAX(1,ROUNDUP((MIN(客户台账!L42,$B$3)-客户台账!K42+1)/7,0)))</f>
        <v/>
      </c>
      <c r="F67" s="16">
        <f>IF($A67="","",SUMIFS(工时记录!$I$5:$I$1004,工时记录!$B$5:$B$1004,$A67,工时记录!$K$5:$K$1004,"一次性")/60)</f>
        <v/>
      </c>
      <c r="G67" s="16">
        <f>IF($A67="","",SUMIFS(工时记录!$I$5:$I$1004,工时记录!$B$5:$B$1004,$A67,工时记录!$K$5:$K$1004,"维护")/60)</f>
        <v/>
      </c>
      <c r="H67" s="16">
        <f>IF($A67="","",SUMIFS(工时记录!$I$5:$I$1004,工时记录!$B$5:$B$1004,$A67,工时记录!$K$5:$K$1004,"专项")/60)</f>
        <v/>
      </c>
      <c r="I67" s="16">
        <f>IF($A67="","",SUMIFS(工时记录!$I$5:$I$1004,工时记录!$B$5:$B$1004,$A67)/60)</f>
        <v/>
      </c>
      <c r="J67" s="16">
        <f>IF(OR($A67="",E67=""),"",G67*60/E67)</f>
        <v/>
      </c>
      <c r="K67" s="10">
        <f>IF($A67="","",COUNTIFS(互动记录!$B$5:$B$1004,$A67,互动记录!$C$5:$C$1004,"老板发送数据"))</f>
        <v/>
      </c>
      <c r="L67" s="17">
        <f>IF(OR($A67="",E67=""),"",MIN(1,K67/E67))</f>
        <v/>
      </c>
      <c r="M67" s="10">
        <f>IF($A67="","",COUNTIFS(互动记录!$B$5:$B$1004,$A67,互动记录!$C$5:$C$1004,"老板主动提问/提需求"))</f>
        <v/>
      </c>
      <c r="N67" s="10">
        <f>IF($A67="","",COUNTIFS(互动记录!$B$5:$B$1004,$A67,互动记录!$C$5:$C$1004,"周报已发送（未修改）")+COUNTIFS(互动记录!$B$5:$B$1004,$A67,互动记录!$C$5:$C$1004,"周报经修改后发送")+COUNTIFS(互动记录!$B$5:$B$1004,$A67,互动记录!$C$5:$C$1004,"周报退回重做"))</f>
        <v/>
      </c>
      <c r="O67" s="17">
        <f>IF(OR($A67="",N67=0),"",(COUNTIFS(互动记录!$B$5:$B$1004,$A67,互动记录!$C$5:$C$1004,"周报经修改后发送")+COUNTIFS(互动记录!$B$5:$B$1004,$A67,互动记录!$C$5:$C$1004,"周报退回重做"))/N67)</f>
        <v/>
      </c>
      <c r="P67" s="10">
        <f>IF($A67="","",COUNTIFS(互动记录!$B$5:$B$1004,$A67,互动记录!$C$5:$C$1004,"建议被采用"))</f>
        <v/>
      </c>
      <c r="Q67" s="10">
        <f>IF($A67="","",COUNTIFS(互动记录!$B$5:$B$1004,$A67,互动记录!$C$5:$C$1004,"增值/专项线索"))</f>
        <v/>
      </c>
      <c r="R67" s="10">
        <f>IF($A67="","",客户台账!N42)</f>
        <v/>
      </c>
      <c r="S67" s="10">
        <f>IF($A67="","",SUMIFS(支出记录!$E$5:$E$504,支出记录!$D$5:$D$504,$A67))</f>
        <v/>
      </c>
      <c r="T67" s="10">
        <f>IF(OR($A67="",I67=0),"",(R67-S67)/I67)</f>
        <v/>
      </c>
    </row>
    <row r="68">
      <c r="A68" s="9">
        <f>IF(客户台账!A43="","",客户台账!A43)</f>
        <v/>
      </c>
      <c r="B68" s="9">
        <f>IF($A68="","",客户台账!B43)</f>
        <v/>
      </c>
      <c r="C68" s="9">
        <f>IF($A68="","",客户台账!D43)</f>
        <v/>
      </c>
      <c r="D68" s="9">
        <f>IF($A68="","",客户台账!I43)</f>
        <v/>
      </c>
      <c r="E68" s="10">
        <f>IF(OR($A68="",客户台账!K43="",C68&lt;&gt;"会员线"),"",MAX(1,ROUNDUP((MIN(客户台账!L43,$B$3)-客户台账!K43+1)/7,0)))</f>
        <v/>
      </c>
      <c r="F68" s="16">
        <f>IF($A68="","",SUMIFS(工时记录!$I$5:$I$1004,工时记录!$B$5:$B$1004,$A68,工时记录!$K$5:$K$1004,"一次性")/60)</f>
        <v/>
      </c>
      <c r="G68" s="16">
        <f>IF($A68="","",SUMIFS(工时记录!$I$5:$I$1004,工时记录!$B$5:$B$1004,$A68,工时记录!$K$5:$K$1004,"维护")/60)</f>
        <v/>
      </c>
      <c r="H68" s="16">
        <f>IF($A68="","",SUMIFS(工时记录!$I$5:$I$1004,工时记录!$B$5:$B$1004,$A68,工时记录!$K$5:$K$1004,"专项")/60)</f>
        <v/>
      </c>
      <c r="I68" s="16">
        <f>IF($A68="","",SUMIFS(工时记录!$I$5:$I$1004,工时记录!$B$5:$B$1004,$A68)/60)</f>
        <v/>
      </c>
      <c r="J68" s="16">
        <f>IF(OR($A68="",E68=""),"",G68*60/E68)</f>
        <v/>
      </c>
      <c r="K68" s="10">
        <f>IF($A68="","",COUNTIFS(互动记录!$B$5:$B$1004,$A68,互动记录!$C$5:$C$1004,"老板发送数据"))</f>
        <v/>
      </c>
      <c r="L68" s="17">
        <f>IF(OR($A68="",E68=""),"",MIN(1,K68/E68))</f>
        <v/>
      </c>
      <c r="M68" s="10">
        <f>IF($A68="","",COUNTIFS(互动记录!$B$5:$B$1004,$A68,互动记录!$C$5:$C$1004,"老板主动提问/提需求"))</f>
        <v/>
      </c>
      <c r="N68" s="10">
        <f>IF($A68="","",COUNTIFS(互动记录!$B$5:$B$1004,$A68,互动记录!$C$5:$C$1004,"周报已发送（未修改）")+COUNTIFS(互动记录!$B$5:$B$1004,$A68,互动记录!$C$5:$C$1004,"周报经修改后发送")+COUNTIFS(互动记录!$B$5:$B$1004,$A68,互动记录!$C$5:$C$1004,"周报退回重做"))</f>
        <v/>
      </c>
      <c r="O68" s="17">
        <f>IF(OR($A68="",N68=0),"",(COUNTIFS(互动记录!$B$5:$B$1004,$A68,互动记录!$C$5:$C$1004,"周报经修改后发送")+COUNTIFS(互动记录!$B$5:$B$1004,$A68,互动记录!$C$5:$C$1004,"周报退回重做"))/N68)</f>
        <v/>
      </c>
      <c r="P68" s="10">
        <f>IF($A68="","",COUNTIFS(互动记录!$B$5:$B$1004,$A68,互动记录!$C$5:$C$1004,"建议被采用"))</f>
        <v/>
      </c>
      <c r="Q68" s="10">
        <f>IF($A68="","",COUNTIFS(互动记录!$B$5:$B$1004,$A68,互动记录!$C$5:$C$1004,"增值/专项线索"))</f>
        <v/>
      </c>
      <c r="R68" s="10">
        <f>IF($A68="","",客户台账!N43)</f>
        <v/>
      </c>
      <c r="S68" s="10">
        <f>IF($A68="","",SUMIFS(支出记录!$E$5:$E$504,支出记录!$D$5:$D$504,$A68))</f>
        <v/>
      </c>
      <c r="T68" s="10">
        <f>IF(OR($A68="",I68=0),"",(R68-S68)/I68)</f>
        <v/>
      </c>
    </row>
    <row r="69">
      <c r="A69" s="9">
        <f>IF(客户台账!A44="","",客户台账!A44)</f>
        <v/>
      </c>
      <c r="B69" s="9">
        <f>IF($A69="","",客户台账!B44)</f>
        <v/>
      </c>
      <c r="C69" s="9">
        <f>IF($A69="","",客户台账!D44)</f>
        <v/>
      </c>
      <c r="D69" s="9">
        <f>IF($A69="","",客户台账!I44)</f>
        <v/>
      </c>
      <c r="E69" s="10">
        <f>IF(OR($A69="",客户台账!K44="",C69&lt;&gt;"会员线"),"",MAX(1,ROUNDUP((MIN(客户台账!L44,$B$3)-客户台账!K44+1)/7,0)))</f>
        <v/>
      </c>
      <c r="F69" s="16">
        <f>IF($A69="","",SUMIFS(工时记录!$I$5:$I$1004,工时记录!$B$5:$B$1004,$A69,工时记录!$K$5:$K$1004,"一次性")/60)</f>
        <v/>
      </c>
      <c r="G69" s="16">
        <f>IF($A69="","",SUMIFS(工时记录!$I$5:$I$1004,工时记录!$B$5:$B$1004,$A69,工时记录!$K$5:$K$1004,"维护")/60)</f>
        <v/>
      </c>
      <c r="H69" s="16">
        <f>IF($A69="","",SUMIFS(工时记录!$I$5:$I$1004,工时记录!$B$5:$B$1004,$A69,工时记录!$K$5:$K$1004,"专项")/60)</f>
        <v/>
      </c>
      <c r="I69" s="16">
        <f>IF($A69="","",SUMIFS(工时记录!$I$5:$I$1004,工时记录!$B$5:$B$1004,$A69)/60)</f>
        <v/>
      </c>
      <c r="J69" s="16">
        <f>IF(OR($A69="",E69=""),"",G69*60/E69)</f>
        <v/>
      </c>
      <c r="K69" s="10">
        <f>IF($A69="","",COUNTIFS(互动记录!$B$5:$B$1004,$A69,互动记录!$C$5:$C$1004,"老板发送数据"))</f>
        <v/>
      </c>
      <c r="L69" s="17">
        <f>IF(OR($A69="",E69=""),"",MIN(1,K69/E69))</f>
        <v/>
      </c>
      <c r="M69" s="10">
        <f>IF($A69="","",COUNTIFS(互动记录!$B$5:$B$1004,$A69,互动记录!$C$5:$C$1004,"老板主动提问/提需求"))</f>
        <v/>
      </c>
      <c r="N69" s="10">
        <f>IF($A69="","",COUNTIFS(互动记录!$B$5:$B$1004,$A69,互动记录!$C$5:$C$1004,"周报已发送（未修改）")+COUNTIFS(互动记录!$B$5:$B$1004,$A69,互动记录!$C$5:$C$1004,"周报经修改后发送")+COUNTIFS(互动记录!$B$5:$B$1004,$A69,互动记录!$C$5:$C$1004,"周报退回重做"))</f>
        <v/>
      </c>
      <c r="O69" s="17">
        <f>IF(OR($A69="",N69=0),"",(COUNTIFS(互动记录!$B$5:$B$1004,$A69,互动记录!$C$5:$C$1004,"周报经修改后发送")+COUNTIFS(互动记录!$B$5:$B$1004,$A69,互动记录!$C$5:$C$1004,"周报退回重做"))/N69)</f>
        <v/>
      </c>
      <c r="P69" s="10">
        <f>IF($A69="","",COUNTIFS(互动记录!$B$5:$B$1004,$A69,互动记录!$C$5:$C$1004,"建议被采用"))</f>
        <v/>
      </c>
      <c r="Q69" s="10">
        <f>IF($A69="","",COUNTIFS(互动记录!$B$5:$B$1004,$A69,互动记录!$C$5:$C$1004,"增值/专项线索"))</f>
        <v/>
      </c>
      <c r="R69" s="10">
        <f>IF($A69="","",客户台账!N44)</f>
        <v/>
      </c>
      <c r="S69" s="10">
        <f>IF($A69="","",SUMIFS(支出记录!$E$5:$E$504,支出记录!$D$5:$D$504,$A69))</f>
        <v/>
      </c>
      <c r="T69" s="10">
        <f>IF(OR($A69="",I69=0),"",(R69-S69)/I69)</f>
        <v/>
      </c>
    </row>
    <row r="70">
      <c r="A70" s="9">
        <f>IF(客户台账!A45="","",客户台账!A45)</f>
        <v/>
      </c>
      <c r="B70" s="9">
        <f>IF($A70="","",客户台账!B45)</f>
        <v/>
      </c>
      <c r="C70" s="9">
        <f>IF($A70="","",客户台账!D45)</f>
        <v/>
      </c>
      <c r="D70" s="9">
        <f>IF($A70="","",客户台账!I45)</f>
        <v/>
      </c>
      <c r="E70" s="10">
        <f>IF(OR($A70="",客户台账!K45="",C70&lt;&gt;"会员线"),"",MAX(1,ROUNDUP((MIN(客户台账!L45,$B$3)-客户台账!K45+1)/7,0)))</f>
        <v/>
      </c>
      <c r="F70" s="16">
        <f>IF($A70="","",SUMIFS(工时记录!$I$5:$I$1004,工时记录!$B$5:$B$1004,$A70,工时记录!$K$5:$K$1004,"一次性")/60)</f>
        <v/>
      </c>
      <c r="G70" s="16">
        <f>IF($A70="","",SUMIFS(工时记录!$I$5:$I$1004,工时记录!$B$5:$B$1004,$A70,工时记录!$K$5:$K$1004,"维护")/60)</f>
        <v/>
      </c>
      <c r="H70" s="16">
        <f>IF($A70="","",SUMIFS(工时记录!$I$5:$I$1004,工时记录!$B$5:$B$1004,$A70,工时记录!$K$5:$K$1004,"专项")/60)</f>
        <v/>
      </c>
      <c r="I70" s="16">
        <f>IF($A70="","",SUMIFS(工时记录!$I$5:$I$1004,工时记录!$B$5:$B$1004,$A70)/60)</f>
        <v/>
      </c>
      <c r="J70" s="16">
        <f>IF(OR($A70="",E70=""),"",G70*60/E70)</f>
        <v/>
      </c>
      <c r="K70" s="10">
        <f>IF($A70="","",COUNTIFS(互动记录!$B$5:$B$1004,$A70,互动记录!$C$5:$C$1004,"老板发送数据"))</f>
        <v/>
      </c>
      <c r="L70" s="17">
        <f>IF(OR($A70="",E70=""),"",MIN(1,K70/E70))</f>
        <v/>
      </c>
      <c r="M70" s="10">
        <f>IF($A70="","",COUNTIFS(互动记录!$B$5:$B$1004,$A70,互动记录!$C$5:$C$1004,"老板主动提问/提需求"))</f>
        <v/>
      </c>
      <c r="N70" s="10">
        <f>IF($A70="","",COUNTIFS(互动记录!$B$5:$B$1004,$A70,互动记录!$C$5:$C$1004,"周报已发送（未修改）")+COUNTIFS(互动记录!$B$5:$B$1004,$A70,互动记录!$C$5:$C$1004,"周报经修改后发送")+COUNTIFS(互动记录!$B$5:$B$1004,$A70,互动记录!$C$5:$C$1004,"周报退回重做"))</f>
        <v/>
      </c>
      <c r="O70" s="17">
        <f>IF(OR($A70="",N70=0),"",(COUNTIFS(互动记录!$B$5:$B$1004,$A70,互动记录!$C$5:$C$1004,"周报经修改后发送")+COUNTIFS(互动记录!$B$5:$B$1004,$A70,互动记录!$C$5:$C$1004,"周报退回重做"))/N70)</f>
        <v/>
      </c>
      <c r="P70" s="10">
        <f>IF($A70="","",COUNTIFS(互动记录!$B$5:$B$1004,$A70,互动记录!$C$5:$C$1004,"建议被采用"))</f>
        <v/>
      </c>
      <c r="Q70" s="10">
        <f>IF($A70="","",COUNTIFS(互动记录!$B$5:$B$1004,$A70,互动记录!$C$5:$C$1004,"增值/专项线索"))</f>
        <v/>
      </c>
      <c r="R70" s="10">
        <f>IF($A70="","",客户台账!N45)</f>
        <v/>
      </c>
      <c r="S70" s="10">
        <f>IF($A70="","",SUMIFS(支出记录!$E$5:$E$504,支出记录!$D$5:$D$504,$A70))</f>
        <v/>
      </c>
      <c r="T70" s="10">
        <f>IF(OR($A70="",I70=0),"",(R70-S70)/I70)</f>
        <v/>
      </c>
    </row>
    <row r="71">
      <c r="A71" s="9">
        <f>IF(客户台账!A46="","",客户台账!A46)</f>
        <v/>
      </c>
      <c r="B71" s="9">
        <f>IF($A71="","",客户台账!B46)</f>
        <v/>
      </c>
      <c r="C71" s="9">
        <f>IF($A71="","",客户台账!D46)</f>
        <v/>
      </c>
      <c r="D71" s="9">
        <f>IF($A71="","",客户台账!I46)</f>
        <v/>
      </c>
      <c r="E71" s="10">
        <f>IF(OR($A71="",客户台账!K46="",C71&lt;&gt;"会员线"),"",MAX(1,ROUNDUP((MIN(客户台账!L46,$B$3)-客户台账!K46+1)/7,0)))</f>
        <v/>
      </c>
      <c r="F71" s="16">
        <f>IF($A71="","",SUMIFS(工时记录!$I$5:$I$1004,工时记录!$B$5:$B$1004,$A71,工时记录!$K$5:$K$1004,"一次性")/60)</f>
        <v/>
      </c>
      <c r="G71" s="16">
        <f>IF($A71="","",SUMIFS(工时记录!$I$5:$I$1004,工时记录!$B$5:$B$1004,$A71,工时记录!$K$5:$K$1004,"维护")/60)</f>
        <v/>
      </c>
      <c r="H71" s="16">
        <f>IF($A71="","",SUMIFS(工时记录!$I$5:$I$1004,工时记录!$B$5:$B$1004,$A71,工时记录!$K$5:$K$1004,"专项")/60)</f>
        <v/>
      </c>
      <c r="I71" s="16">
        <f>IF($A71="","",SUMIFS(工时记录!$I$5:$I$1004,工时记录!$B$5:$B$1004,$A71)/60)</f>
        <v/>
      </c>
      <c r="J71" s="16">
        <f>IF(OR($A71="",E71=""),"",G71*60/E71)</f>
        <v/>
      </c>
      <c r="K71" s="10">
        <f>IF($A71="","",COUNTIFS(互动记录!$B$5:$B$1004,$A71,互动记录!$C$5:$C$1004,"老板发送数据"))</f>
        <v/>
      </c>
      <c r="L71" s="17">
        <f>IF(OR($A71="",E71=""),"",MIN(1,K71/E71))</f>
        <v/>
      </c>
      <c r="M71" s="10">
        <f>IF($A71="","",COUNTIFS(互动记录!$B$5:$B$1004,$A71,互动记录!$C$5:$C$1004,"老板主动提问/提需求"))</f>
        <v/>
      </c>
      <c r="N71" s="10">
        <f>IF($A71="","",COUNTIFS(互动记录!$B$5:$B$1004,$A71,互动记录!$C$5:$C$1004,"周报已发送（未修改）")+COUNTIFS(互动记录!$B$5:$B$1004,$A71,互动记录!$C$5:$C$1004,"周报经修改后发送")+COUNTIFS(互动记录!$B$5:$B$1004,$A71,互动记录!$C$5:$C$1004,"周报退回重做"))</f>
        <v/>
      </c>
      <c r="O71" s="17">
        <f>IF(OR($A71="",N71=0),"",(COUNTIFS(互动记录!$B$5:$B$1004,$A71,互动记录!$C$5:$C$1004,"周报经修改后发送")+COUNTIFS(互动记录!$B$5:$B$1004,$A71,互动记录!$C$5:$C$1004,"周报退回重做"))/N71)</f>
        <v/>
      </c>
      <c r="P71" s="10">
        <f>IF($A71="","",COUNTIFS(互动记录!$B$5:$B$1004,$A71,互动记录!$C$5:$C$1004,"建议被采用"))</f>
        <v/>
      </c>
      <c r="Q71" s="10">
        <f>IF($A71="","",COUNTIFS(互动记录!$B$5:$B$1004,$A71,互动记录!$C$5:$C$1004,"增值/专项线索"))</f>
        <v/>
      </c>
      <c r="R71" s="10">
        <f>IF($A71="","",客户台账!N46)</f>
        <v/>
      </c>
      <c r="S71" s="10">
        <f>IF($A71="","",SUMIFS(支出记录!$E$5:$E$504,支出记录!$D$5:$D$504,$A71))</f>
        <v/>
      </c>
      <c r="T71" s="10">
        <f>IF(OR($A71="",I71=0),"",(R71-S71)/I71)</f>
        <v/>
      </c>
    </row>
    <row r="72">
      <c r="A72" s="9">
        <f>IF(客户台账!A47="","",客户台账!A47)</f>
        <v/>
      </c>
      <c r="B72" s="9">
        <f>IF($A72="","",客户台账!B47)</f>
        <v/>
      </c>
      <c r="C72" s="9">
        <f>IF($A72="","",客户台账!D47)</f>
        <v/>
      </c>
      <c r="D72" s="9">
        <f>IF($A72="","",客户台账!I47)</f>
        <v/>
      </c>
      <c r="E72" s="10">
        <f>IF(OR($A72="",客户台账!K47="",C72&lt;&gt;"会员线"),"",MAX(1,ROUNDUP((MIN(客户台账!L47,$B$3)-客户台账!K47+1)/7,0)))</f>
        <v/>
      </c>
      <c r="F72" s="16">
        <f>IF($A72="","",SUMIFS(工时记录!$I$5:$I$1004,工时记录!$B$5:$B$1004,$A72,工时记录!$K$5:$K$1004,"一次性")/60)</f>
        <v/>
      </c>
      <c r="G72" s="16">
        <f>IF($A72="","",SUMIFS(工时记录!$I$5:$I$1004,工时记录!$B$5:$B$1004,$A72,工时记录!$K$5:$K$1004,"维护")/60)</f>
        <v/>
      </c>
      <c r="H72" s="16">
        <f>IF($A72="","",SUMIFS(工时记录!$I$5:$I$1004,工时记录!$B$5:$B$1004,$A72,工时记录!$K$5:$K$1004,"专项")/60)</f>
        <v/>
      </c>
      <c r="I72" s="16">
        <f>IF($A72="","",SUMIFS(工时记录!$I$5:$I$1004,工时记录!$B$5:$B$1004,$A72)/60)</f>
        <v/>
      </c>
      <c r="J72" s="16">
        <f>IF(OR($A72="",E72=""),"",G72*60/E72)</f>
        <v/>
      </c>
      <c r="K72" s="10">
        <f>IF($A72="","",COUNTIFS(互动记录!$B$5:$B$1004,$A72,互动记录!$C$5:$C$1004,"老板发送数据"))</f>
        <v/>
      </c>
      <c r="L72" s="17">
        <f>IF(OR($A72="",E72=""),"",MIN(1,K72/E72))</f>
        <v/>
      </c>
      <c r="M72" s="10">
        <f>IF($A72="","",COUNTIFS(互动记录!$B$5:$B$1004,$A72,互动记录!$C$5:$C$1004,"老板主动提问/提需求"))</f>
        <v/>
      </c>
      <c r="N72" s="10">
        <f>IF($A72="","",COUNTIFS(互动记录!$B$5:$B$1004,$A72,互动记录!$C$5:$C$1004,"周报已发送（未修改）")+COUNTIFS(互动记录!$B$5:$B$1004,$A72,互动记录!$C$5:$C$1004,"周报经修改后发送")+COUNTIFS(互动记录!$B$5:$B$1004,$A72,互动记录!$C$5:$C$1004,"周报退回重做"))</f>
        <v/>
      </c>
      <c r="O72" s="17">
        <f>IF(OR($A72="",N72=0),"",(COUNTIFS(互动记录!$B$5:$B$1004,$A72,互动记录!$C$5:$C$1004,"周报经修改后发送")+COUNTIFS(互动记录!$B$5:$B$1004,$A72,互动记录!$C$5:$C$1004,"周报退回重做"))/N72)</f>
        <v/>
      </c>
      <c r="P72" s="10">
        <f>IF($A72="","",COUNTIFS(互动记录!$B$5:$B$1004,$A72,互动记录!$C$5:$C$1004,"建议被采用"))</f>
        <v/>
      </c>
      <c r="Q72" s="10">
        <f>IF($A72="","",COUNTIFS(互动记录!$B$5:$B$1004,$A72,互动记录!$C$5:$C$1004,"增值/专项线索"))</f>
        <v/>
      </c>
      <c r="R72" s="10">
        <f>IF($A72="","",客户台账!N47)</f>
        <v/>
      </c>
      <c r="S72" s="10">
        <f>IF($A72="","",SUMIFS(支出记录!$E$5:$E$504,支出记录!$D$5:$D$504,$A72))</f>
        <v/>
      </c>
      <c r="T72" s="10">
        <f>IF(OR($A72="",I72=0),"",(R72-S72)/I72)</f>
        <v/>
      </c>
    </row>
    <row r="73">
      <c r="A73" s="9">
        <f>IF(客户台账!A48="","",客户台账!A48)</f>
        <v/>
      </c>
      <c r="B73" s="9">
        <f>IF($A73="","",客户台账!B48)</f>
        <v/>
      </c>
      <c r="C73" s="9">
        <f>IF($A73="","",客户台账!D48)</f>
        <v/>
      </c>
      <c r="D73" s="9">
        <f>IF($A73="","",客户台账!I48)</f>
        <v/>
      </c>
      <c r="E73" s="10">
        <f>IF(OR($A73="",客户台账!K48="",C73&lt;&gt;"会员线"),"",MAX(1,ROUNDUP((MIN(客户台账!L48,$B$3)-客户台账!K48+1)/7,0)))</f>
        <v/>
      </c>
      <c r="F73" s="16">
        <f>IF($A73="","",SUMIFS(工时记录!$I$5:$I$1004,工时记录!$B$5:$B$1004,$A73,工时记录!$K$5:$K$1004,"一次性")/60)</f>
        <v/>
      </c>
      <c r="G73" s="16">
        <f>IF($A73="","",SUMIFS(工时记录!$I$5:$I$1004,工时记录!$B$5:$B$1004,$A73,工时记录!$K$5:$K$1004,"维护")/60)</f>
        <v/>
      </c>
      <c r="H73" s="16">
        <f>IF($A73="","",SUMIFS(工时记录!$I$5:$I$1004,工时记录!$B$5:$B$1004,$A73,工时记录!$K$5:$K$1004,"专项")/60)</f>
        <v/>
      </c>
      <c r="I73" s="16">
        <f>IF($A73="","",SUMIFS(工时记录!$I$5:$I$1004,工时记录!$B$5:$B$1004,$A73)/60)</f>
        <v/>
      </c>
      <c r="J73" s="16">
        <f>IF(OR($A73="",E73=""),"",G73*60/E73)</f>
        <v/>
      </c>
      <c r="K73" s="10">
        <f>IF($A73="","",COUNTIFS(互动记录!$B$5:$B$1004,$A73,互动记录!$C$5:$C$1004,"老板发送数据"))</f>
        <v/>
      </c>
      <c r="L73" s="17">
        <f>IF(OR($A73="",E73=""),"",MIN(1,K73/E73))</f>
        <v/>
      </c>
      <c r="M73" s="10">
        <f>IF($A73="","",COUNTIFS(互动记录!$B$5:$B$1004,$A73,互动记录!$C$5:$C$1004,"老板主动提问/提需求"))</f>
        <v/>
      </c>
      <c r="N73" s="10">
        <f>IF($A73="","",COUNTIFS(互动记录!$B$5:$B$1004,$A73,互动记录!$C$5:$C$1004,"周报已发送（未修改）")+COUNTIFS(互动记录!$B$5:$B$1004,$A73,互动记录!$C$5:$C$1004,"周报经修改后发送")+COUNTIFS(互动记录!$B$5:$B$1004,$A73,互动记录!$C$5:$C$1004,"周报退回重做"))</f>
        <v/>
      </c>
      <c r="O73" s="17">
        <f>IF(OR($A73="",N73=0),"",(COUNTIFS(互动记录!$B$5:$B$1004,$A73,互动记录!$C$5:$C$1004,"周报经修改后发送")+COUNTIFS(互动记录!$B$5:$B$1004,$A73,互动记录!$C$5:$C$1004,"周报退回重做"))/N73)</f>
        <v/>
      </c>
      <c r="P73" s="10">
        <f>IF($A73="","",COUNTIFS(互动记录!$B$5:$B$1004,$A73,互动记录!$C$5:$C$1004,"建议被采用"))</f>
        <v/>
      </c>
      <c r="Q73" s="10">
        <f>IF($A73="","",COUNTIFS(互动记录!$B$5:$B$1004,$A73,互动记录!$C$5:$C$1004,"增值/专项线索"))</f>
        <v/>
      </c>
      <c r="R73" s="10">
        <f>IF($A73="","",客户台账!N48)</f>
        <v/>
      </c>
      <c r="S73" s="10">
        <f>IF($A73="","",SUMIFS(支出记录!$E$5:$E$504,支出记录!$D$5:$D$504,$A73))</f>
        <v/>
      </c>
      <c r="T73" s="10">
        <f>IF(OR($A73="",I73=0),"",(R73-S73)/I73)</f>
        <v/>
      </c>
    </row>
    <row r="74">
      <c r="A74" s="9">
        <f>IF(客户台账!A49="","",客户台账!A49)</f>
        <v/>
      </c>
      <c r="B74" s="9">
        <f>IF($A74="","",客户台账!B49)</f>
        <v/>
      </c>
      <c r="C74" s="9">
        <f>IF($A74="","",客户台账!D49)</f>
        <v/>
      </c>
      <c r="D74" s="9">
        <f>IF($A74="","",客户台账!I49)</f>
        <v/>
      </c>
      <c r="E74" s="10">
        <f>IF(OR($A74="",客户台账!K49="",C74&lt;&gt;"会员线"),"",MAX(1,ROUNDUP((MIN(客户台账!L49,$B$3)-客户台账!K49+1)/7,0)))</f>
        <v/>
      </c>
      <c r="F74" s="16">
        <f>IF($A74="","",SUMIFS(工时记录!$I$5:$I$1004,工时记录!$B$5:$B$1004,$A74,工时记录!$K$5:$K$1004,"一次性")/60)</f>
        <v/>
      </c>
      <c r="G74" s="16">
        <f>IF($A74="","",SUMIFS(工时记录!$I$5:$I$1004,工时记录!$B$5:$B$1004,$A74,工时记录!$K$5:$K$1004,"维护")/60)</f>
        <v/>
      </c>
      <c r="H74" s="16">
        <f>IF($A74="","",SUMIFS(工时记录!$I$5:$I$1004,工时记录!$B$5:$B$1004,$A74,工时记录!$K$5:$K$1004,"专项")/60)</f>
        <v/>
      </c>
      <c r="I74" s="16">
        <f>IF($A74="","",SUMIFS(工时记录!$I$5:$I$1004,工时记录!$B$5:$B$1004,$A74)/60)</f>
        <v/>
      </c>
      <c r="J74" s="16">
        <f>IF(OR($A74="",E74=""),"",G74*60/E74)</f>
        <v/>
      </c>
      <c r="K74" s="10">
        <f>IF($A74="","",COUNTIFS(互动记录!$B$5:$B$1004,$A74,互动记录!$C$5:$C$1004,"老板发送数据"))</f>
        <v/>
      </c>
      <c r="L74" s="17">
        <f>IF(OR($A74="",E74=""),"",MIN(1,K74/E74))</f>
        <v/>
      </c>
      <c r="M74" s="10">
        <f>IF($A74="","",COUNTIFS(互动记录!$B$5:$B$1004,$A74,互动记录!$C$5:$C$1004,"老板主动提问/提需求"))</f>
        <v/>
      </c>
      <c r="N74" s="10">
        <f>IF($A74="","",COUNTIFS(互动记录!$B$5:$B$1004,$A74,互动记录!$C$5:$C$1004,"周报已发送（未修改）")+COUNTIFS(互动记录!$B$5:$B$1004,$A74,互动记录!$C$5:$C$1004,"周报经修改后发送")+COUNTIFS(互动记录!$B$5:$B$1004,$A74,互动记录!$C$5:$C$1004,"周报退回重做"))</f>
        <v/>
      </c>
      <c r="O74" s="17">
        <f>IF(OR($A74="",N74=0),"",(COUNTIFS(互动记录!$B$5:$B$1004,$A74,互动记录!$C$5:$C$1004,"周报经修改后发送")+COUNTIFS(互动记录!$B$5:$B$1004,$A74,互动记录!$C$5:$C$1004,"周报退回重做"))/N74)</f>
        <v/>
      </c>
      <c r="P74" s="10">
        <f>IF($A74="","",COUNTIFS(互动记录!$B$5:$B$1004,$A74,互动记录!$C$5:$C$1004,"建议被采用"))</f>
        <v/>
      </c>
      <c r="Q74" s="10">
        <f>IF($A74="","",COUNTIFS(互动记录!$B$5:$B$1004,$A74,互动记录!$C$5:$C$1004,"增值/专项线索"))</f>
        <v/>
      </c>
      <c r="R74" s="10">
        <f>IF($A74="","",客户台账!N49)</f>
        <v/>
      </c>
      <c r="S74" s="10">
        <f>IF($A74="","",SUMIFS(支出记录!$E$5:$E$504,支出记录!$D$5:$D$504,$A74))</f>
        <v/>
      </c>
      <c r="T74" s="10">
        <f>IF(OR($A74="",I74=0),"",(R74-S74)/I74)</f>
        <v/>
      </c>
    </row>
    <row r="75">
      <c r="A75" s="9">
        <f>IF(客户台账!A50="","",客户台账!A50)</f>
        <v/>
      </c>
      <c r="B75" s="9">
        <f>IF($A75="","",客户台账!B50)</f>
        <v/>
      </c>
      <c r="C75" s="9">
        <f>IF($A75="","",客户台账!D50)</f>
        <v/>
      </c>
      <c r="D75" s="9">
        <f>IF($A75="","",客户台账!I50)</f>
        <v/>
      </c>
      <c r="E75" s="10">
        <f>IF(OR($A75="",客户台账!K50="",C75&lt;&gt;"会员线"),"",MAX(1,ROUNDUP((MIN(客户台账!L50,$B$3)-客户台账!K50+1)/7,0)))</f>
        <v/>
      </c>
      <c r="F75" s="16">
        <f>IF($A75="","",SUMIFS(工时记录!$I$5:$I$1004,工时记录!$B$5:$B$1004,$A75,工时记录!$K$5:$K$1004,"一次性")/60)</f>
        <v/>
      </c>
      <c r="G75" s="16">
        <f>IF($A75="","",SUMIFS(工时记录!$I$5:$I$1004,工时记录!$B$5:$B$1004,$A75,工时记录!$K$5:$K$1004,"维护")/60)</f>
        <v/>
      </c>
      <c r="H75" s="16">
        <f>IF($A75="","",SUMIFS(工时记录!$I$5:$I$1004,工时记录!$B$5:$B$1004,$A75,工时记录!$K$5:$K$1004,"专项")/60)</f>
        <v/>
      </c>
      <c r="I75" s="16">
        <f>IF($A75="","",SUMIFS(工时记录!$I$5:$I$1004,工时记录!$B$5:$B$1004,$A75)/60)</f>
        <v/>
      </c>
      <c r="J75" s="16">
        <f>IF(OR($A75="",E75=""),"",G75*60/E75)</f>
        <v/>
      </c>
      <c r="K75" s="10">
        <f>IF($A75="","",COUNTIFS(互动记录!$B$5:$B$1004,$A75,互动记录!$C$5:$C$1004,"老板发送数据"))</f>
        <v/>
      </c>
      <c r="L75" s="17">
        <f>IF(OR($A75="",E75=""),"",MIN(1,K75/E75))</f>
        <v/>
      </c>
      <c r="M75" s="10">
        <f>IF($A75="","",COUNTIFS(互动记录!$B$5:$B$1004,$A75,互动记录!$C$5:$C$1004,"老板主动提问/提需求"))</f>
        <v/>
      </c>
      <c r="N75" s="10">
        <f>IF($A75="","",COUNTIFS(互动记录!$B$5:$B$1004,$A75,互动记录!$C$5:$C$1004,"周报已发送（未修改）")+COUNTIFS(互动记录!$B$5:$B$1004,$A75,互动记录!$C$5:$C$1004,"周报经修改后发送")+COUNTIFS(互动记录!$B$5:$B$1004,$A75,互动记录!$C$5:$C$1004,"周报退回重做"))</f>
        <v/>
      </c>
      <c r="O75" s="17">
        <f>IF(OR($A75="",N75=0),"",(COUNTIFS(互动记录!$B$5:$B$1004,$A75,互动记录!$C$5:$C$1004,"周报经修改后发送")+COUNTIFS(互动记录!$B$5:$B$1004,$A75,互动记录!$C$5:$C$1004,"周报退回重做"))/N75)</f>
        <v/>
      </c>
      <c r="P75" s="10">
        <f>IF($A75="","",COUNTIFS(互动记录!$B$5:$B$1004,$A75,互动记录!$C$5:$C$1004,"建议被采用"))</f>
        <v/>
      </c>
      <c r="Q75" s="10">
        <f>IF($A75="","",COUNTIFS(互动记录!$B$5:$B$1004,$A75,互动记录!$C$5:$C$1004,"增值/专项线索"))</f>
        <v/>
      </c>
      <c r="R75" s="10">
        <f>IF($A75="","",客户台账!N50)</f>
        <v/>
      </c>
      <c r="S75" s="10">
        <f>IF($A75="","",SUMIFS(支出记录!$E$5:$E$504,支出记录!$D$5:$D$504,$A75))</f>
        <v/>
      </c>
      <c r="T75" s="10">
        <f>IF(OR($A75="",I75=0),"",(R75-S75)/I75)</f>
        <v/>
      </c>
    </row>
    <row r="76">
      <c r="A76" s="9">
        <f>IF(客户台账!A51="","",客户台账!A51)</f>
        <v/>
      </c>
      <c r="B76" s="9">
        <f>IF($A76="","",客户台账!B51)</f>
        <v/>
      </c>
      <c r="C76" s="9">
        <f>IF($A76="","",客户台账!D51)</f>
        <v/>
      </c>
      <c r="D76" s="9">
        <f>IF($A76="","",客户台账!I51)</f>
        <v/>
      </c>
      <c r="E76" s="10">
        <f>IF(OR($A76="",客户台账!K51="",C76&lt;&gt;"会员线"),"",MAX(1,ROUNDUP((MIN(客户台账!L51,$B$3)-客户台账!K51+1)/7,0)))</f>
        <v/>
      </c>
      <c r="F76" s="16">
        <f>IF($A76="","",SUMIFS(工时记录!$I$5:$I$1004,工时记录!$B$5:$B$1004,$A76,工时记录!$K$5:$K$1004,"一次性")/60)</f>
        <v/>
      </c>
      <c r="G76" s="16">
        <f>IF($A76="","",SUMIFS(工时记录!$I$5:$I$1004,工时记录!$B$5:$B$1004,$A76,工时记录!$K$5:$K$1004,"维护")/60)</f>
        <v/>
      </c>
      <c r="H76" s="16">
        <f>IF($A76="","",SUMIFS(工时记录!$I$5:$I$1004,工时记录!$B$5:$B$1004,$A76,工时记录!$K$5:$K$1004,"专项")/60)</f>
        <v/>
      </c>
      <c r="I76" s="16">
        <f>IF($A76="","",SUMIFS(工时记录!$I$5:$I$1004,工时记录!$B$5:$B$1004,$A76)/60)</f>
        <v/>
      </c>
      <c r="J76" s="16">
        <f>IF(OR($A76="",E76=""),"",G76*60/E76)</f>
        <v/>
      </c>
      <c r="K76" s="10">
        <f>IF($A76="","",COUNTIFS(互动记录!$B$5:$B$1004,$A76,互动记录!$C$5:$C$1004,"老板发送数据"))</f>
        <v/>
      </c>
      <c r="L76" s="17">
        <f>IF(OR($A76="",E76=""),"",MIN(1,K76/E76))</f>
        <v/>
      </c>
      <c r="M76" s="10">
        <f>IF($A76="","",COUNTIFS(互动记录!$B$5:$B$1004,$A76,互动记录!$C$5:$C$1004,"老板主动提问/提需求"))</f>
        <v/>
      </c>
      <c r="N76" s="10">
        <f>IF($A76="","",COUNTIFS(互动记录!$B$5:$B$1004,$A76,互动记录!$C$5:$C$1004,"周报已发送（未修改）")+COUNTIFS(互动记录!$B$5:$B$1004,$A76,互动记录!$C$5:$C$1004,"周报经修改后发送")+COUNTIFS(互动记录!$B$5:$B$1004,$A76,互动记录!$C$5:$C$1004,"周报退回重做"))</f>
        <v/>
      </c>
      <c r="O76" s="17">
        <f>IF(OR($A76="",N76=0),"",(COUNTIFS(互动记录!$B$5:$B$1004,$A76,互动记录!$C$5:$C$1004,"周报经修改后发送")+COUNTIFS(互动记录!$B$5:$B$1004,$A76,互动记录!$C$5:$C$1004,"周报退回重做"))/N76)</f>
        <v/>
      </c>
      <c r="P76" s="10">
        <f>IF($A76="","",COUNTIFS(互动记录!$B$5:$B$1004,$A76,互动记录!$C$5:$C$1004,"建议被采用"))</f>
        <v/>
      </c>
      <c r="Q76" s="10">
        <f>IF($A76="","",COUNTIFS(互动记录!$B$5:$B$1004,$A76,互动记录!$C$5:$C$1004,"增值/专项线索"))</f>
        <v/>
      </c>
      <c r="R76" s="10">
        <f>IF($A76="","",客户台账!N51)</f>
        <v/>
      </c>
      <c r="S76" s="10">
        <f>IF($A76="","",SUMIFS(支出记录!$E$5:$E$504,支出记录!$D$5:$D$504,$A76))</f>
        <v/>
      </c>
      <c r="T76" s="10">
        <f>IF(OR($A76="",I76=0),"",(R76-S76)/I76)</f>
        <v/>
      </c>
    </row>
    <row r="77">
      <c r="A77" s="9">
        <f>IF(客户台账!A52="","",客户台账!A52)</f>
        <v/>
      </c>
      <c r="B77" s="9">
        <f>IF($A77="","",客户台账!B52)</f>
        <v/>
      </c>
      <c r="C77" s="9">
        <f>IF($A77="","",客户台账!D52)</f>
        <v/>
      </c>
      <c r="D77" s="9">
        <f>IF($A77="","",客户台账!I52)</f>
        <v/>
      </c>
      <c r="E77" s="10">
        <f>IF(OR($A77="",客户台账!K52="",C77&lt;&gt;"会员线"),"",MAX(1,ROUNDUP((MIN(客户台账!L52,$B$3)-客户台账!K52+1)/7,0)))</f>
        <v/>
      </c>
      <c r="F77" s="16">
        <f>IF($A77="","",SUMIFS(工时记录!$I$5:$I$1004,工时记录!$B$5:$B$1004,$A77,工时记录!$K$5:$K$1004,"一次性")/60)</f>
        <v/>
      </c>
      <c r="G77" s="16">
        <f>IF($A77="","",SUMIFS(工时记录!$I$5:$I$1004,工时记录!$B$5:$B$1004,$A77,工时记录!$K$5:$K$1004,"维护")/60)</f>
        <v/>
      </c>
      <c r="H77" s="16">
        <f>IF($A77="","",SUMIFS(工时记录!$I$5:$I$1004,工时记录!$B$5:$B$1004,$A77,工时记录!$K$5:$K$1004,"专项")/60)</f>
        <v/>
      </c>
      <c r="I77" s="16">
        <f>IF($A77="","",SUMIFS(工时记录!$I$5:$I$1004,工时记录!$B$5:$B$1004,$A77)/60)</f>
        <v/>
      </c>
      <c r="J77" s="16">
        <f>IF(OR($A77="",E77=""),"",G77*60/E77)</f>
        <v/>
      </c>
      <c r="K77" s="10">
        <f>IF($A77="","",COUNTIFS(互动记录!$B$5:$B$1004,$A77,互动记录!$C$5:$C$1004,"老板发送数据"))</f>
        <v/>
      </c>
      <c r="L77" s="17">
        <f>IF(OR($A77="",E77=""),"",MIN(1,K77/E77))</f>
        <v/>
      </c>
      <c r="M77" s="10">
        <f>IF($A77="","",COUNTIFS(互动记录!$B$5:$B$1004,$A77,互动记录!$C$5:$C$1004,"老板主动提问/提需求"))</f>
        <v/>
      </c>
      <c r="N77" s="10">
        <f>IF($A77="","",COUNTIFS(互动记录!$B$5:$B$1004,$A77,互动记录!$C$5:$C$1004,"周报已发送（未修改）")+COUNTIFS(互动记录!$B$5:$B$1004,$A77,互动记录!$C$5:$C$1004,"周报经修改后发送")+COUNTIFS(互动记录!$B$5:$B$1004,$A77,互动记录!$C$5:$C$1004,"周报退回重做"))</f>
        <v/>
      </c>
      <c r="O77" s="17">
        <f>IF(OR($A77="",N77=0),"",(COUNTIFS(互动记录!$B$5:$B$1004,$A77,互动记录!$C$5:$C$1004,"周报经修改后发送")+COUNTIFS(互动记录!$B$5:$B$1004,$A77,互动记录!$C$5:$C$1004,"周报退回重做"))/N77)</f>
        <v/>
      </c>
      <c r="P77" s="10">
        <f>IF($A77="","",COUNTIFS(互动记录!$B$5:$B$1004,$A77,互动记录!$C$5:$C$1004,"建议被采用"))</f>
        <v/>
      </c>
      <c r="Q77" s="10">
        <f>IF($A77="","",COUNTIFS(互动记录!$B$5:$B$1004,$A77,互动记录!$C$5:$C$1004,"增值/专项线索"))</f>
        <v/>
      </c>
      <c r="R77" s="10">
        <f>IF($A77="","",客户台账!N52)</f>
        <v/>
      </c>
      <c r="S77" s="10">
        <f>IF($A77="","",SUMIFS(支出记录!$E$5:$E$504,支出记录!$D$5:$D$504,$A77))</f>
        <v/>
      </c>
      <c r="T77" s="10">
        <f>IF(OR($A77="",I77=0),"",(R77-S77)/I77)</f>
        <v/>
      </c>
    </row>
    <row r="78">
      <c r="A78" s="9">
        <f>IF(客户台账!A53="","",客户台账!A53)</f>
        <v/>
      </c>
      <c r="B78" s="9">
        <f>IF($A78="","",客户台账!B53)</f>
        <v/>
      </c>
      <c r="C78" s="9">
        <f>IF($A78="","",客户台账!D53)</f>
        <v/>
      </c>
      <c r="D78" s="9">
        <f>IF($A78="","",客户台账!I53)</f>
        <v/>
      </c>
      <c r="E78" s="10">
        <f>IF(OR($A78="",客户台账!K53="",C78&lt;&gt;"会员线"),"",MAX(1,ROUNDUP((MIN(客户台账!L53,$B$3)-客户台账!K53+1)/7,0)))</f>
        <v/>
      </c>
      <c r="F78" s="16">
        <f>IF($A78="","",SUMIFS(工时记录!$I$5:$I$1004,工时记录!$B$5:$B$1004,$A78,工时记录!$K$5:$K$1004,"一次性")/60)</f>
        <v/>
      </c>
      <c r="G78" s="16">
        <f>IF($A78="","",SUMIFS(工时记录!$I$5:$I$1004,工时记录!$B$5:$B$1004,$A78,工时记录!$K$5:$K$1004,"维护")/60)</f>
        <v/>
      </c>
      <c r="H78" s="16">
        <f>IF($A78="","",SUMIFS(工时记录!$I$5:$I$1004,工时记录!$B$5:$B$1004,$A78,工时记录!$K$5:$K$1004,"专项")/60)</f>
        <v/>
      </c>
      <c r="I78" s="16">
        <f>IF($A78="","",SUMIFS(工时记录!$I$5:$I$1004,工时记录!$B$5:$B$1004,$A78)/60)</f>
        <v/>
      </c>
      <c r="J78" s="16">
        <f>IF(OR($A78="",E78=""),"",G78*60/E78)</f>
        <v/>
      </c>
      <c r="K78" s="10">
        <f>IF($A78="","",COUNTIFS(互动记录!$B$5:$B$1004,$A78,互动记录!$C$5:$C$1004,"老板发送数据"))</f>
        <v/>
      </c>
      <c r="L78" s="17">
        <f>IF(OR($A78="",E78=""),"",MIN(1,K78/E78))</f>
        <v/>
      </c>
      <c r="M78" s="10">
        <f>IF($A78="","",COUNTIFS(互动记录!$B$5:$B$1004,$A78,互动记录!$C$5:$C$1004,"老板主动提问/提需求"))</f>
        <v/>
      </c>
      <c r="N78" s="10">
        <f>IF($A78="","",COUNTIFS(互动记录!$B$5:$B$1004,$A78,互动记录!$C$5:$C$1004,"周报已发送（未修改）")+COUNTIFS(互动记录!$B$5:$B$1004,$A78,互动记录!$C$5:$C$1004,"周报经修改后发送")+COUNTIFS(互动记录!$B$5:$B$1004,$A78,互动记录!$C$5:$C$1004,"周报退回重做"))</f>
        <v/>
      </c>
      <c r="O78" s="17">
        <f>IF(OR($A78="",N78=0),"",(COUNTIFS(互动记录!$B$5:$B$1004,$A78,互动记录!$C$5:$C$1004,"周报经修改后发送")+COUNTIFS(互动记录!$B$5:$B$1004,$A78,互动记录!$C$5:$C$1004,"周报退回重做"))/N78)</f>
        <v/>
      </c>
      <c r="P78" s="10">
        <f>IF($A78="","",COUNTIFS(互动记录!$B$5:$B$1004,$A78,互动记录!$C$5:$C$1004,"建议被采用"))</f>
        <v/>
      </c>
      <c r="Q78" s="10">
        <f>IF($A78="","",COUNTIFS(互动记录!$B$5:$B$1004,$A78,互动记录!$C$5:$C$1004,"增值/专项线索"))</f>
        <v/>
      </c>
      <c r="R78" s="10">
        <f>IF($A78="","",客户台账!N53)</f>
        <v/>
      </c>
      <c r="S78" s="10">
        <f>IF($A78="","",SUMIFS(支出记录!$E$5:$E$504,支出记录!$D$5:$D$504,$A78))</f>
        <v/>
      </c>
      <c r="T78" s="10">
        <f>IF(OR($A78="",I78=0),"",(R78-S78)/I78)</f>
        <v/>
      </c>
    </row>
    <row r="79">
      <c r="A79" s="9">
        <f>IF(客户台账!A54="","",客户台账!A54)</f>
        <v/>
      </c>
      <c r="B79" s="9">
        <f>IF($A79="","",客户台账!B54)</f>
        <v/>
      </c>
      <c r="C79" s="9">
        <f>IF($A79="","",客户台账!D54)</f>
        <v/>
      </c>
      <c r="D79" s="9">
        <f>IF($A79="","",客户台账!I54)</f>
        <v/>
      </c>
      <c r="E79" s="10">
        <f>IF(OR($A79="",客户台账!K54="",C79&lt;&gt;"会员线"),"",MAX(1,ROUNDUP((MIN(客户台账!L54,$B$3)-客户台账!K54+1)/7,0)))</f>
        <v/>
      </c>
      <c r="F79" s="16">
        <f>IF($A79="","",SUMIFS(工时记录!$I$5:$I$1004,工时记录!$B$5:$B$1004,$A79,工时记录!$K$5:$K$1004,"一次性")/60)</f>
        <v/>
      </c>
      <c r="G79" s="16">
        <f>IF($A79="","",SUMIFS(工时记录!$I$5:$I$1004,工时记录!$B$5:$B$1004,$A79,工时记录!$K$5:$K$1004,"维护")/60)</f>
        <v/>
      </c>
      <c r="H79" s="16">
        <f>IF($A79="","",SUMIFS(工时记录!$I$5:$I$1004,工时记录!$B$5:$B$1004,$A79,工时记录!$K$5:$K$1004,"专项")/60)</f>
        <v/>
      </c>
      <c r="I79" s="16">
        <f>IF($A79="","",SUMIFS(工时记录!$I$5:$I$1004,工时记录!$B$5:$B$1004,$A79)/60)</f>
        <v/>
      </c>
      <c r="J79" s="16">
        <f>IF(OR($A79="",E79=""),"",G79*60/E79)</f>
        <v/>
      </c>
      <c r="K79" s="10">
        <f>IF($A79="","",COUNTIFS(互动记录!$B$5:$B$1004,$A79,互动记录!$C$5:$C$1004,"老板发送数据"))</f>
        <v/>
      </c>
      <c r="L79" s="17">
        <f>IF(OR($A79="",E79=""),"",MIN(1,K79/E79))</f>
        <v/>
      </c>
      <c r="M79" s="10">
        <f>IF($A79="","",COUNTIFS(互动记录!$B$5:$B$1004,$A79,互动记录!$C$5:$C$1004,"老板主动提问/提需求"))</f>
        <v/>
      </c>
      <c r="N79" s="10">
        <f>IF($A79="","",COUNTIFS(互动记录!$B$5:$B$1004,$A79,互动记录!$C$5:$C$1004,"周报已发送（未修改）")+COUNTIFS(互动记录!$B$5:$B$1004,$A79,互动记录!$C$5:$C$1004,"周报经修改后发送")+COUNTIFS(互动记录!$B$5:$B$1004,$A79,互动记录!$C$5:$C$1004,"周报退回重做"))</f>
        <v/>
      </c>
      <c r="O79" s="17">
        <f>IF(OR($A79="",N79=0),"",(COUNTIFS(互动记录!$B$5:$B$1004,$A79,互动记录!$C$5:$C$1004,"周报经修改后发送")+COUNTIFS(互动记录!$B$5:$B$1004,$A79,互动记录!$C$5:$C$1004,"周报退回重做"))/N79)</f>
        <v/>
      </c>
      <c r="P79" s="10">
        <f>IF($A79="","",COUNTIFS(互动记录!$B$5:$B$1004,$A79,互动记录!$C$5:$C$1004,"建议被采用"))</f>
        <v/>
      </c>
      <c r="Q79" s="10">
        <f>IF($A79="","",COUNTIFS(互动记录!$B$5:$B$1004,$A79,互动记录!$C$5:$C$1004,"增值/专项线索"))</f>
        <v/>
      </c>
      <c r="R79" s="10">
        <f>IF($A79="","",客户台账!N54)</f>
        <v/>
      </c>
      <c r="S79" s="10">
        <f>IF($A79="","",SUMIFS(支出记录!$E$5:$E$504,支出记录!$D$5:$D$504,$A79))</f>
        <v/>
      </c>
      <c r="T79" s="10">
        <f>IF(OR($A79="",I79=0),"",(R79-S79)/I79)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2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4" customWidth="1" min="11" max="11"/>
    <col width="8" customWidth="1" min="12" max="12"/>
    <col width="14" customWidth="1" min="13" max="13"/>
    <col width="10" customWidth="1" min="14" max="14"/>
    <col width="30" customWidth="1" min="15" max="15"/>
    <col width="28" customWidth="1" min="16" max="16"/>
    <col width="20" customWidth="1" min="17" max="17"/>
  </cols>
  <sheetData>
    <row r="1">
      <c r="A1" s="1" t="inlineStr">
        <is>
          <t>客户筛选评分表</t>
        </is>
      </c>
    </row>
    <row r="2">
      <c r="A2" s="2" t="inlineStr">
        <is>
          <t>依据 D02 第十三节（五项优先条件 + 慎重项）与 B08 附录A。每项 0=没有/不清楚，1=部分具备，2=明确具备。</t>
        </is>
      </c>
    </row>
    <row r="4" ht="32" customHeight="1">
      <c r="A4" s="8" t="inlineStr">
        <is>
          <t>企业编号</t>
        </is>
      </c>
      <c r="B4" s="8" t="inlineStr">
        <is>
          <t>企业简称</t>
        </is>
      </c>
      <c r="C4" s="8" t="inlineStr">
        <is>
          <t>行业</t>
        </is>
      </c>
      <c r="D4" s="8" t="inlineStr">
        <is>
          <t>来源渠道</t>
        </is>
      </c>
      <c r="E4" s="8" t="inlineStr">
        <is>
          <t>拟进入线别</t>
        </is>
      </c>
      <c r="F4" s="8" t="inlineStr">
        <is>
          <t>有真实问题
0–2</t>
        </is>
      </c>
      <c r="G4" s="8" t="inlineStr">
        <is>
          <t>有合作意愿
0–2</t>
        </is>
      </c>
      <c r="H4" s="8" t="inlineStr">
        <is>
          <t>有持续需求
0–2</t>
        </is>
      </c>
      <c r="I4" s="8" t="inlineStr">
        <is>
          <t>可合理交付
0–2</t>
        </is>
      </c>
      <c r="J4" s="8" t="inlineStr">
        <is>
          <t>有付费可能
0–2</t>
        </is>
      </c>
      <c r="K4" s="8" t="inlineStr">
        <is>
          <t>慎重项</t>
        </is>
      </c>
      <c r="L4" s="8" t="inlineStr">
        <is>
          <t>得分
(满分10)</t>
        </is>
      </c>
      <c r="M4" s="8" t="inlineStr">
        <is>
          <t>系统建议</t>
        </is>
      </c>
      <c r="N4" s="8" t="inlineStr">
        <is>
          <t>顾问最终决定</t>
        </is>
      </c>
      <c r="O4" s="8" t="inlineStr">
        <is>
          <t>老板原话：最迫切的问题</t>
        </is>
      </c>
      <c r="P4" s="8" t="inlineStr">
        <is>
          <t>（专项）未来90天要做的关键决定</t>
        </is>
      </c>
      <c r="Q4" s="8" t="inlineStr">
        <is>
          <t>备注</t>
        </is>
      </c>
    </row>
    <row r="5">
      <c r="A5" s="20" t="inlineStr">
        <is>
          <t>示例-01</t>
        </is>
      </c>
      <c r="B5" s="20" t="inlineStr">
        <is>
          <t>黔味商贸</t>
        </is>
      </c>
      <c r="C5" s="20" t="inlineStr">
        <is>
          <t>商贸批发</t>
        </is>
      </c>
      <c r="D5" s="20" t="inlineStr">
        <is>
          <t>熟人介绍</t>
        </is>
      </c>
      <c r="E5" s="20" t="inlineStr">
        <is>
          <t>会员线</t>
        </is>
      </c>
      <c r="F5" s="20" t="n">
        <v>2</v>
      </c>
      <c r="G5" s="20" t="n">
        <v>2</v>
      </c>
      <c r="H5" s="20" t="n">
        <v>2</v>
      </c>
      <c r="I5" s="20" t="n">
        <v>1</v>
      </c>
      <c r="J5" s="20" t="n">
        <v>1</v>
      </c>
      <c r="K5" s="20" t="inlineStr">
        <is>
          <t>无</t>
        </is>
      </c>
      <c r="L5" s="9">
        <f>IF(A5="","",SUM(F5:J5))</f>
        <v/>
      </c>
      <c r="M5" s="9">
        <f>IF(A5="","",IF(AND(K5&lt;&gt;"",K5&lt;&gt;"无"),"慎重：顾问判断",IF(L5&gt;=参数!$F$14,"强烈建议",IF(L5&gt;=参数!$F$15,"可以试点","暂不接"))))</f>
        <v/>
      </c>
      <c r="N5" s="20" t="inlineStr">
        <is>
          <t>接</t>
        </is>
      </c>
      <c r="O5" s="20" t="inlineStr">
        <is>
          <t>销售还行，但钱总是不够用，应收越来越多</t>
        </is>
      </c>
      <c r="P5" s="21" t="n"/>
      <c r="Q5" s="20" t="inlineStr">
        <is>
          <t>示例行，使用前删除</t>
        </is>
      </c>
    </row>
    <row r="6">
      <c r="A6" s="21" t="n"/>
      <c r="B6" s="21" t="n"/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9">
        <f>IF(A6="","",SUM(F6:J6))</f>
        <v/>
      </c>
      <c r="M6" s="9">
        <f>IF(A6="","",IF(AND(K6&lt;&gt;"",K6&lt;&gt;"无"),"慎重：顾问判断",IF(L6&gt;=参数!$F$14,"强烈建议",IF(L6&gt;=参数!$F$15,"可以试点","暂不接"))))</f>
        <v/>
      </c>
      <c r="N6" s="21" t="n"/>
      <c r="O6" s="21" t="n"/>
      <c r="P6" s="21" t="n"/>
      <c r="Q6" s="21" t="n"/>
    </row>
    <row r="7">
      <c r="A7" s="21" t="n"/>
      <c r="B7" s="21" t="n"/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9">
        <f>IF(A7="","",SUM(F7:J7))</f>
        <v/>
      </c>
      <c r="M7" s="9">
        <f>IF(A7="","",IF(AND(K7&lt;&gt;"",K7&lt;&gt;"无"),"慎重：顾问判断",IF(L7&gt;=参数!$F$14,"强烈建议",IF(L7&gt;=参数!$F$15,"可以试点","暂不接"))))</f>
        <v/>
      </c>
      <c r="N7" s="21" t="n"/>
      <c r="O7" s="21" t="n"/>
      <c r="P7" s="21" t="n"/>
      <c r="Q7" s="21" t="n"/>
    </row>
    <row r="8">
      <c r="A8" s="21" t="n"/>
      <c r="B8" s="21" t="n"/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9">
        <f>IF(A8="","",SUM(F8:J8))</f>
        <v/>
      </c>
      <c r="M8" s="9">
        <f>IF(A8="","",IF(AND(K8&lt;&gt;"",K8&lt;&gt;"无"),"慎重：顾问判断",IF(L8&gt;=参数!$F$14,"强烈建议",IF(L8&gt;=参数!$F$15,"可以试点","暂不接"))))</f>
        <v/>
      </c>
      <c r="N8" s="21" t="n"/>
      <c r="O8" s="21" t="n"/>
      <c r="P8" s="21" t="n"/>
      <c r="Q8" s="21" t="n"/>
    </row>
    <row r="9">
      <c r="A9" s="21" t="n"/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9">
        <f>IF(A9="","",SUM(F9:J9))</f>
        <v/>
      </c>
      <c r="M9" s="9">
        <f>IF(A9="","",IF(AND(K9&lt;&gt;"",K9&lt;&gt;"无"),"慎重：顾问判断",IF(L9&gt;=参数!$F$14,"强烈建议",IF(L9&gt;=参数!$F$15,"可以试点","暂不接"))))</f>
        <v/>
      </c>
      <c r="N9" s="21" t="n"/>
      <c r="O9" s="21" t="n"/>
      <c r="P9" s="21" t="n"/>
      <c r="Q9" s="21" t="n"/>
    </row>
    <row r="10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9">
        <f>IF(A10="","",SUM(F10:J10))</f>
        <v/>
      </c>
      <c r="M10" s="9">
        <f>IF(A10="","",IF(AND(K10&lt;&gt;"",K10&lt;&gt;"无"),"慎重：顾问判断",IF(L10&gt;=参数!$F$14,"强烈建议",IF(L10&gt;=参数!$F$15,"可以试点","暂不接"))))</f>
        <v/>
      </c>
      <c r="N10" s="21" t="n"/>
      <c r="O10" s="21" t="n"/>
      <c r="P10" s="21" t="n"/>
      <c r="Q10" s="21" t="n"/>
    </row>
    <row r="11">
      <c r="A11" s="21" t="n"/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9">
        <f>IF(A11="","",SUM(F11:J11))</f>
        <v/>
      </c>
      <c r="M11" s="9">
        <f>IF(A11="","",IF(AND(K11&lt;&gt;"",K11&lt;&gt;"无"),"慎重：顾问判断",IF(L11&gt;=参数!$F$14,"强烈建议",IF(L11&gt;=参数!$F$15,"可以试点","暂不接"))))</f>
        <v/>
      </c>
      <c r="N11" s="21" t="n"/>
      <c r="O11" s="21" t="n"/>
      <c r="P11" s="21" t="n"/>
      <c r="Q11" s="21" t="n"/>
    </row>
    <row r="12">
      <c r="A12" s="21" t="n"/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9">
        <f>IF(A12="","",SUM(F12:J12))</f>
        <v/>
      </c>
      <c r="M12" s="9">
        <f>IF(A12="","",IF(AND(K12&lt;&gt;"",K12&lt;&gt;"无"),"慎重：顾问判断",IF(L12&gt;=参数!$F$14,"强烈建议",IF(L12&gt;=参数!$F$15,"可以试点","暂不接"))))</f>
        <v/>
      </c>
      <c r="N12" s="21" t="n"/>
      <c r="O12" s="21" t="n"/>
      <c r="P12" s="21" t="n"/>
      <c r="Q12" s="21" t="n"/>
    </row>
    <row r="13">
      <c r="A13" s="21" t="n"/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9">
        <f>IF(A13="","",SUM(F13:J13))</f>
        <v/>
      </c>
      <c r="M13" s="9">
        <f>IF(A13="","",IF(AND(K13&lt;&gt;"",K13&lt;&gt;"无"),"慎重：顾问判断",IF(L13&gt;=参数!$F$14,"强烈建议",IF(L13&gt;=参数!$F$15,"可以试点","暂不接"))))</f>
        <v/>
      </c>
      <c r="N13" s="21" t="n"/>
      <c r="O13" s="21" t="n"/>
      <c r="P13" s="21" t="n"/>
      <c r="Q13" s="21" t="n"/>
    </row>
    <row r="14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9">
        <f>IF(A14="","",SUM(F14:J14))</f>
        <v/>
      </c>
      <c r="M14" s="9">
        <f>IF(A14="","",IF(AND(K14&lt;&gt;"",K14&lt;&gt;"无"),"慎重：顾问判断",IF(L14&gt;=参数!$F$14,"强烈建议",IF(L14&gt;=参数!$F$15,"可以试点","暂不接"))))</f>
        <v/>
      </c>
      <c r="N14" s="21" t="n"/>
      <c r="O14" s="21" t="n"/>
      <c r="P14" s="21" t="n"/>
      <c r="Q14" s="21" t="n"/>
    </row>
    <row r="15">
      <c r="A15" s="21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9">
        <f>IF(A15="","",SUM(F15:J15))</f>
        <v/>
      </c>
      <c r="M15" s="9">
        <f>IF(A15="","",IF(AND(K15&lt;&gt;"",K15&lt;&gt;"无"),"慎重：顾问判断",IF(L15&gt;=参数!$F$14,"强烈建议",IF(L15&gt;=参数!$F$15,"可以试点","暂不接"))))</f>
        <v/>
      </c>
      <c r="N15" s="21" t="n"/>
      <c r="O15" s="21" t="n"/>
      <c r="P15" s="21" t="n"/>
      <c r="Q15" s="21" t="n"/>
    </row>
    <row r="16">
      <c r="A16" s="21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9">
        <f>IF(A16="","",SUM(F16:J16))</f>
        <v/>
      </c>
      <c r="M16" s="9">
        <f>IF(A16="","",IF(AND(K16&lt;&gt;"",K16&lt;&gt;"无"),"慎重：顾问判断",IF(L16&gt;=参数!$F$14,"强烈建议",IF(L16&gt;=参数!$F$15,"可以试点","暂不接"))))</f>
        <v/>
      </c>
      <c r="N16" s="21" t="n"/>
      <c r="O16" s="21" t="n"/>
      <c r="P16" s="21" t="n"/>
      <c r="Q16" s="21" t="n"/>
    </row>
    <row r="17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9">
        <f>IF(A17="","",SUM(F17:J17))</f>
        <v/>
      </c>
      <c r="M17" s="9">
        <f>IF(A17="","",IF(AND(K17&lt;&gt;"",K17&lt;&gt;"无"),"慎重：顾问判断",IF(L17&gt;=参数!$F$14,"强烈建议",IF(L17&gt;=参数!$F$15,"可以试点","暂不接"))))</f>
        <v/>
      </c>
      <c r="N17" s="21" t="n"/>
      <c r="O17" s="21" t="n"/>
      <c r="P17" s="21" t="n"/>
      <c r="Q17" s="21" t="n"/>
    </row>
    <row r="18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9">
        <f>IF(A18="","",SUM(F18:J18))</f>
        <v/>
      </c>
      <c r="M18" s="9">
        <f>IF(A18="","",IF(AND(K18&lt;&gt;"",K18&lt;&gt;"无"),"慎重：顾问判断",IF(L18&gt;=参数!$F$14,"强烈建议",IF(L18&gt;=参数!$F$15,"可以试点","暂不接"))))</f>
        <v/>
      </c>
      <c r="N18" s="21" t="n"/>
      <c r="O18" s="21" t="n"/>
      <c r="P18" s="21" t="n"/>
      <c r="Q18" s="21" t="n"/>
    </row>
    <row r="19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9">
        <f>IF(A19="","",SUM(F19:J19))</f>
        <v/>
      </c>
      <c r="M19" s="9">
        <f>IF(A19="","",IF(AND(K19&lt;&gt;"",K19&lt;&gt;"无"),"慎重：顾问判断",IF(L19&gt;=参数!$F$14,"强烈建议",IF(L19&gt;=参数!$F$15,"可以试点","暂不接"))))</f>
        <v/>
      </c>
      <c r="N19" s="21" t="n"/>
      <c r="O19" s="21" t="n"/>
      <c r="P19" s="21" t="n"/>
      <c r="Q19" s="21" t="n"/>
    </row>
    <row r="20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9">
        <f>IF(A20="","",SUM(F20:J20))</f>
        <v/>
      </c>
      <c r="M20" s="9">
        <f>IF(A20="","",IF(AND(K20&lt;&gt;"",K20&lt;&gt;"无"),"慎重：顾问判断",IF(L20&gt;=参数!$F$14,"强烈建议",IF(L20&gt;=参数!$F$15,"可以试点","暂不接"))))</f>
        <v/>
      </c>
      <c r="N20" s="21" t="n"/>
      <c r="O20" s="21" t="n"/>
      <c r="P20" s="21" t="n"/>
      <c r="Q20" s="21" t="n"/>
    </row>
    <row r="21">
      <c r="A21" s="21" t="n"/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9">
        <f>IF(A21="","",SUM(F21:J21))</f>
        <v/>
      </c>
      <c r="M21" s="9">
        <f>IF(A21="","",IF(AND(K21&lt;&gt;"",K21&lt;&gt;"无"),"慎重：顾问判断",IF(L21&gt;=参数!$F$14,"强烈建议",IF(L21&gt;=参数!$F$15,"可以试点","暂不接"))))</f>
        <v/>
      </c>
      <c r="N21" s="21" t="n"/>
      <c r="O21" s="21" t="n"/>
      <c r="P21" s="21" t="n"/>
      <c r="Q21" s="21" t="n"/>
    </row>
    <row r="22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9">
        <f>IF(A22="","",SUM(F22:J22))</f>
        <v/>
      </c>
      <c r="M22" s="9">
        <f>IF(A22="","",IF(AND(K22&lt;&gt;"",K22&lt;&gt;"无"),"慎重：顾问判断",IF(L22&gt;=参数!$F$14,"强烈建议",IF(L22&gt;=参数!$F$15,"可以试点","暂不接"))))</f>
        <v/>
      </c>
      <c r="N22" s="21" t="n"/>
      <c r="O22" s="21" t="n"/>
      <c r="P22" s="21" t="n"/>
      <c r="Q22" s="21" t="n"/>
    </row>
    <row r="23">
      <c r="A23" s="21" t="n"/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9">
        <f>IF(A23="","",SUM(F23:J23))</f>
        <v/>
      </c>
      <c r="M23" s="9">
        <f>IF(A23="","",IF(AND(K23&lt;&gt;"",K23&lt;&gt;"无"),"慎重：顾问判断",IF(L23&gt;=参数!$F$14,"强烈建议",IF(L23&gt;=参数!$F$15,"可以试点","暂不接"))))</f>
        <v/>
      </c>
      <c r="N23" s="21" t="n"/>
      <c r="O23" s="21" t="n"/>
      <c r="P23" s="21" t="n"/>
      <c r="Q23" s="21" t="n"/>
    </row>
    <row r="24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9">
        <f>IF(A24="","",SUM(F24:J24))</f>
        <v/>
      </c>
      <c r="M24" s="9">
        <f>IF(A24="","",IF(AND(K24&lt;&gt;"",K24&lt;&gt;"无"),"慎重：顾问判断",IF(L24&gt;=参数!$F$14,"强烈建议",IF(L24&gt;=参数!$F$15,"可以试点","暂不接"))))</f>
        <v/>
      </c>
      <c r="N24" s="21" t="n"/>
      <c r="O24" s="21" t="n"/>
      <c r="P24" s="21" t="n"/>
      <c r="Q24" s="21" t="n"/>
    </row>
    <row r="25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9">
        <f>IF(A25="","",SUM(F25:J25))</f>
        <v/>
      </c>
      <c r="M25" s="9">
        <f>IF(A25="","",IF(AND(K25&lt;&gt;"",K25&lt;&gt;"无"),"慎重：顾问判断",IF(L25&gt;=参数!$F$14,"强烈建议",IF(L25&gt;=参数!$F$15,"可以试点","暂不接"))))</f>
        <v/>
      </c>
      <c r="N25" s="21" t="n"/>
      <c r="O25" s="21" t="n"/>
      <c r="P25" s="21" t="n"/>
      <c r="Q25" s="21" t="n"/>
    </row>
    <row r="26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9">
        <f>IF(A26="","",SUM(F26:J26))</f>
        <v/>
      </c>
      <c r="M26" s="9">
        <f>IF(A26="","",IF(AND(K26&lt;&gt;"",K26&lt;&gt;"无"),"慎重：顾问判断",IF(L26&gt;=参数!$F$14,"强烈建议",IF(L26&gt;=参数!$F$15,"可以试点","暂不接"))))</f>
        <v/>
      </c>
      <c r="N26" s="21" t="n"/>
      <c r="O26" s="21" t="n"/>
      <c r="P26" s="21" t="n"/>
      <c r="Q26" s="21" t="n"/>
    </row>
    <row r="27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9">
        <f>IF(A27="","",SUM(F27:J27))</f>
        <v/>
      </c>
      <c r="M27" s="9">
        <f>IF(A27="","",IF(AND(K27&lt;&gt;"",K27&lt;&gt;"无"),"慎重：顾问判断",IF(L27&gt;=参数!$F$14,"强烈建议",IF(L27&gt;=参数!$F$15,"可以试点","暂不接"))))</f>
        <v/>
      </c>
      <c r="N27" s="21" t="n"/>
      <c r="O27" s="21" t="n"/>
      <c r="P27" s="21" t="n"/>
      <c r="Q27" s="21" t="n"/>
    </row>
    <row r="28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9">
        <f>IF(A28="","",SUM(F28:J28))</f>
        <v/>
      </c>
      <c r="M28" s="9">
        <f>IF(A28="","",IF(AND(K28&lt;&gt;"",K28&lt;&gt;"无"),"慎重：顾问判断",IF(L28&gt;=参数!$F$14,"强烈建议",IF(L28&gt;=参数!$F$15,"可以试点","暂不接"))))</f>
        <v/>
      </c>
      <c r="N28" s="21" t="n"/>
      <c r="O28" s="21" t="n"/>
      <c r="P28" s="21" t="n"/>
      <c r="Q28" s="21" t="n"/>
    </row>
    <row r="29">
      <c r="A29" s="21" t="n"/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9">
        <f>IF(A29="","",SUM(F29:J29))</f>
        <v/>
      </c>
      <c r="M29" s="9">
        <f>IF(A29="","",IF(AND(K29&lt;&gt;"",K29&lt;&gt;"无"),"慎重：顾问判断",IF(L29&gt;=参数!$F$14,"强烈建议",IF(L29&gt;=参数!$F$15,"可以试点","暂不接"))))</f>
        <v/>
      </c>
      <c r="N29" s="21" t="n"/>
      <c r="O29" s="21" t="n"/>
      <c r="P29" s="21" t="n"/>
      <c r="Q29" s="21" t="n"/>
    </row>
    <row r="30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9">
        <f>IF(A30="","",SUM(F30:J30))</f>
        <v/>
      </c>
      <c r="M30" s="9">
        <f>IF(A30="","",IF(AND(K30&lt;&gt;"",K30&lt;&gt;"无"),"慎重：顾问判断",IF(L30&gt;=参数!$F$14,"强烈建议",IF(L30&gt;=参数!$F$15,"可以试点","暂不接"))))</f>
        <v/>
      </c>
      <c r="N30" s="21" t="n"/>
      <c r="O30" s="21" t="n"/>
      <c r="P30" s="21" t="n"/>
      <c r="Q30" s="21" t="n"/>
    </row>
    <row r="3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9">
        <f>IF(A31="","",SUM(F31:J31))</f>
        <v/>
      </c>
      <c r="M31" s="9">
        <f>IF(A31="","",IF(AND(K31&lt;&gt;"",K31&lt;&gt;"无"),"慎重：顾问判断",IF(L31&gt;=参数!$F$14,"强烈建议",IF(L31&gt;=参数!$F$15,"可以试点","暂不接"))))</f>
        <v/>
      </c>
      <c r="N31" s="21" t="n"/>
      <c r="O31" s="21" t="n"/>
      <c r="P31" s="21" t="n"/>
      <c r="Q31" s="21" t="n"/>
    </row>
    <row r="32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9">
        <f>IF(A32="","",SUM(F32:J32))</f>
        <v/>
      </c>
      <c r="M32" s="9">
        <f>IF(A32="","",IF(AND(K32&lt;&gt;"",K32&lt;&gt;"无"),"慎重：顾问判断",IF(L32&gt;=参数!$F$14,"强烈建议",IF(L32&gt;=参数!$F$15,"可以试点","暂不接"))))</f>
        <v/>
      </c>
      <c r="N32" s="21" t="n"/>
      <c r="O32" s="21" t="n"/>
      <c r="P32" s="21" t="n"/>
      <c r="Q32" s="21" t="n"/>
    </row>
    <row r="33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9">
        <f>IF(A33="","",SUM(F33:J33))</f>
        <v/>
      </c>
      <c r="M33" s="9">
        <f>IF(A33="","",IF(AND(K33&lt;&gt;"",K33&lt;&gt;"无"),"慎重：顾问判断",IF(L33&gt;=参数!$F$14,"强烈建议",IF(L33&gt;=参数!$F$15,"可以试点","暂不接"))))</f>
        <v/>
      </c>
      <c r="N33" s="21" t="n"/>
      <c r="O33" s="21" t="n"/>
      <c r="P33" s="21" t="n"/>
      <c r="Q33" s="21" t="n"/>
    </row>
    <row r="34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9">
        <f>IF(A34="","",SUM(F34:J34))</f>
        <v/>
      </c>
      <c r="M34" s="9">
        <f>IF(A34="","",IF(AND(K34&lt;&gt;"",K34&lt;&gt;"无"),"慎重：顾问判断",IF(L34&gt;=参数!$F$14,"强烈建议",IF(L34&gt;=参数!$F$15,"可以试点","暂不接"))))</f>
        <v/>
      </c>
      <c r="N34" s="21" t="n"/>
      <c r="O34" s="21" t="n"/>
      <c r="P34" s="21" t="n"/>
      <c r="Q34" s="21" t="n"/>
    </row>
    <row r="35">
      <c r="A35" s="21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9">
        <f>IF(A35="","",SUM(F35:J35))</f>
        <v/>
      </c>
      <c r="M35" s="9">
        <f>IF(A35="","",IF(AND(K35&lt;&gt;"",K35&lt;&gt;"无"),"慎重：顾问判断",IF(L35&gt;=参数!$F$14,"强烈建议",IF(L35&gt;=参数!$F$15,"可以试点","暂不接"))))</f>
        <v/>
      </c>
      <c r="N35" s="21" t="n"/>
      <c r="O35" s="21" t="n"/>
      <c r="P35" s="21" t="n"/>
      <c r="Q35" s="21" t="n"/>
    </row>
    <row r="36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9">
        <f>IF(A36="","",SUM(F36:J36))</f>
        <v/>
      </c>
      <c r="M36" s="9">
        <f>IF(A36="","",IF(AND(K36&lt;&gt;"",K36&lt;&gt;"无"),"慎重：顾问判断",IF(L36&gt;=参数!$F$14,"强烈建议",IF(L36&gt;=参数!$F$15,"可以试点","暂不接"))))</f>
        <v/>
      </c>
      <c r="N36" s="21" t="n"/>
      <c r="O36" s="21" t="n"/>
      <c r="P36" s="21" t="n"/>
      <c r="Q36" s="21" t="n"/>
    </row>
    <row r="37">
      <c r="A37" s="21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9">
        <f>IF(A37="","",SUM(F37:J37))</f>
        <v/>
      </c>
      <c r="M37" s="9">
        <f>IF(A37="","",IF(AND(K37&lt;&gt;"",K37&lt;&gt;"无"),"慎重：顾问判断",IF(L37&gt;=参数!$F$14,"强烈建议",IF(L37&gt;=参数!$F$15,"可以试点","暂不接"))))</f>
        <v/>
      </c>
      <c r="N37" s="21" t="n"/>
      <c r="O37" s="21" t="n"/>
      <c r="P37" s="21" t="n"/>
      <c r="Q37" s="21" t="n"/>
    </row>
    <row r="38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9">
        <f>IF(A38="","",SUM(F38:J38))</f>
        <v/>
      </c>
      <c r="M38" s="9">
        <f>IF(A38="","",IF(AND(K38&lt;&gt;"",K38&lt;&gt;"无"),"慎重：顾问判断",IF(L38&gt;=参数!$F$14,"强烈建议",IF(L38&gt;=参数!$F$15,"可以试点","暂不接"))))</f>
        <v/>
      </c>
      <c r="N38" s="21" t="n"/>
      <c r="O38" s="21" t="n"/>
      <c r="P38" s="21" t="n"/>
      <c r="Q38" s="21" t="n"/>
    </row>
    <row r="39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9">
        <f>IF(A39="","",SUM(F39:J39))</f>
        <v/>
      </c>
      <c r="M39" s="9">
        <f>IF(A39="","",IF(AND(K39&lt;&gt;"",K39&lt;&gt;"无"),"慎重：顾问判断",IF(L39&gt;=参数!$F$14,"强烈建议",IF(L39&gt;=参数!$F$15,"可以试点","暂不接"))))</f>
        <v/>
      </c>
      <c r="N39" s="21" t="n"/>
      <c r="O39" s="21" t="n"/>
      <c r="P39" s="21" t="n"/>
      <c r="Q39" s="21" t="n"/>
    </row>
    <row r="40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9">
        <f>IF(A40="","",SUM(F40:J40))</f>
        <v/>
      </c>
      <c r="M40" s="9">
        <f>IF(A40="","",IF(AND(K40&lt;&gt;"",K40&lt;&gt;"无"),"慎重：顾问判断",IF(L40&gt;=参数!$F$14,"强烈建议",IF(L40&gt;=参数!$F$15,"可以试点","暂不接"))))</f>
        <v/>
      </c>
      <c r="N40" s="21" t="n"/>
      <c r="O40" s="21" t="n"/>
      <c r="P40" s="21" t="n"/>
      <c r="Q40" s="21" t="n"/>
    </row>
    <row r="41">
      <c r="A41" s="21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9">
        <f>IF(A41="","",SUM(F41:J41))</f>
        <v/>
      </c>
      <c r="M41" s="9">
        <f>IF(A41="","",IF(AND(K41&lt;&gt;"",K41&lt;&gt;"无"),"慎重：顾问判断",IF(L41&gt;=参数!$F$14,"强烈建议",IF(L41&gt;=参数!$F$15,"可以试点","暂不接"))))</f>
        <v/>
      </c>
      <c r="N41" s="21" t="n"/>
      <c r="O41" s="21" t="n"/>
      <c r="P41" s="21" t="n"/>
      <c r="Q41" s="21" t="n"/>
    </row>
    <row r="42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9">
        <f>IF(A42="","",SUM(F42:J42))</f>
        <v/>
      </c>
      <c r="M42" s="9">
        <f>IF(A42="","",IF(AND(K42&lt;&gt;"",K42&lt;&gt;"无"),"慎重：顾问判断",IF(L42&gt;=参数!$F$14,"强烈建议",IF(L42&gt;=参数!$F$15,"可以试点","暂不接"))))</f>
        <v/>
      </c>
      <c r="N42" s="21" t="n"/>
      <c r="O42" s="21" t="n"/>
      <c r="P42" s="21" t="n"/>
      <c r="Q42" s="21" t="n"/>
    </row>
    <row r="43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9">
        <f>IF(A43="","",SUM(F43:J43))</f>
        <v/>
      </c>
      <c r="M43" s="9">
        <f>IF(A43="","",IF(AND(K43&lt;&gt;"",K43&lt;&gt;"无"),"慎重：顾问判断",IF(L43&gt;=参数!$F$14,"强烈建议",IF(L43&gt;=参数!$F$15,"可以试点","暂不接"))))</f>
        <v/>
      </c>
      <c r="N43" s="21" t="n"/>
      <c r="O43" s="21" t="n"/>
      <c r="P43" s="21" t="n"/>
      <c r="Q43" s="21" t="n"/>
    </row>
    <row r="44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9">
        <f>IF(A44="","",SUM(F44:J44))</f>
        <v/>
      </c>
      <c r="M44" s="9">
        <f>IF(A44="","",IF(AND(K44&lt;&gt;"",K44&lt;&gt;"无"),"慎重：顾问判断",IF(L44&gt;=参数!$F$14,"强烈建议",IF(L44&gt;=参数!$F$15,"可以试点","暂不接"))))</f>
        <v/>
      </c>
      <c r="N44" s="21" t="n"/>
      <c r="O44" s="21" t="n"/>
      <c r="P44" s="21" t="n"/>
      <c r="Q44" s="21" t="n"/>
    </row>
    <row r="45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9">
        <f>IF(A45="","",SUM(F45:J45))</f>
        <v/>
      </c>
      <c r="M45" s="9">
        <f>IF(A45="","",IF(AND(K45&lt;&gt;"",K45&lt;&gt;"无"),"慎重：顾问判断",IF(L45&gt;=参数!$F$14,"强烈建议",IF(L45&gt;=参数!$F$15,"可以试点","暂不接"))))</f>
        <v/>
      </c>
      <c r="N45" s="21" t="n"/>
      <c r="O45" s="21" t="n"/>
      <c r="P45" s="21" t="n"/>
      <c r="Q45" s="21" t="n"/>
    </row>
    <row r="46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9">
        <f>IF(A46="","",SUM(F46:J46))</f>
        <v/>
      </c>
      <c r="M46" s="9">
        <f>IF(A46="","",IF(AND(K46&lt;&gt;"",K46&lt;&gt;"无"),"慎重：顾问判断",IF(L46&gt;=参数!$F$14,"强烈建议",IF(L46&gt;=参数!$F$15,"可以试点","暂不接"))))</f>
        <v/>
      </c>
      <c r="N46" s="21" t="n"/>
      <c r="O46" s="21" t="n"/>
      <c r="P46" s="21" t="n"/>
      <c r="Q46" s="21" t="n"/>
    </row>
    <row r="47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9">
        <f>IF(A47="","",SUM(F47:J47))</f>
        <v/>
      </c>
      <c r="M47" s="9">
        <f>IF(A47="","",IF(AND(K47&lt;&gt;"",K47&lt;&gt;"无"),"慎重：顾问判断",IF(L47&gt;=参数!$F$14,"强烈建议",IF(L47&gt;=参数!$F$15,"可以试点","暂不接"))))</f>
        <v/>
      </c>
      <c r="N47" s="21" t="n"/>
      <c r="O47" s="21" t="n"/>
      <c r="P47" s="21" t="n"/>
      <c r="Q47" s="21" t="n"/>
    </row>
    <row r="48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9">
        <f>IF(A48="","",SUM(F48:J48))</f>
        <v/>
      </c>
      <c r="M48" s="9">
        <f>IF(A48="","",IF(AND(K48&lt;&gt;"",K48&lt;&gt;"无"),"慎重：顾问判断",IF(L48&gt;=参数!$F$14,"强烈建议",IF(L48&gt;=参数!$F$15,"可以试点","暂不接"))))</f>
        <v/>
      </c>
      <c r="N48" s="21" t="n"/>
      <c r="O48" s="21" t="n"/>
      <c r="P48" s="21" t="n"/>
      <c r="Q48" s="21" t="n"/>
    </row>
    <row r="49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9">
        <f>IF(A49="","",SUM(F49:J49))</f>
        <v/>
      </c>
      <c r="M49" s="9">
        <f>IF(A49="","",IF(AND(K49&lt;&gt;"",K49&lt;&gt;"无"),"慎重：顾问判断",IF(L49&gt;=参数!$F$14,"强烈建议",IF(L49&gt;=参数!$F$15,"可以试点","暂不接"))))</f>
        <v/>
      </c>
      <c r="N49" s="21" t="n"/>
      <c r="O49" s="21" t="n"/>
      <c r="P49" s="21" t="n"/>
      <c r="Q49" s="21" t="n"/>
    </row>
    <row r="50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9">
        <f>IF(A50="","",SUM(F50:J50))</f>
        <v/>
      </c>
      <c r="M50" s="9">
        <f>IF(A50="","",IF(AND(K50&lt;&gt;"",K50&lt;&gt;"无"),"慎重：顾问判断",IF(L50&gt;=参数!$F$14,"强烈建议",IF(L50&gt;=参数!$F$15,"可以试点","暂不接"))))</f>
        <v/>
      </c>
      <c r="N50" s="21" t="n"/>
      <c r="O50" s="21" t="n"/>
      <c r="P50" s="21" t="n"/>
      <c r="Q50" s="21" t="n"/>
    </row>
    <row r="51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9">
        <f>IF(A51="","",SUM(F51:J51))</f>
        <v/>
      </c>
      <c r="M51" s="9">
        <f>IF(A51="","",IF(AND(K51&lt;&gt;"",K51&lt;&gt;"无"),"慎重：顾问判断",IF(L51&gt;=参数!$F$14,"强烈建议",IF(L51&gt;=参数!$F$15,"可以试点","暂不接"))))</f>
        <v/>
      </c>
      <c r="N51" s="21" t="n"/>
      <c r="O51" s="21" t="n"/>
      <c r="P51" s="21" t="n"/>
      <c r="Q51" s="21" t="n"/>
    </row>
    <row r="52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9">
        <f>IF(A52="","",SUM(F52:J52))</f>
        <v/>
      </c>
      <c r="M52" s="9">
        <f>IF(A52="","",IF(AND(K52&lt;&gt;"",K52&lt;&gt;"无"),"慎重：顾问判断",IF(L52&gt;=参数!$F$14,"强烈建议",IF(L52&gt;=参数!$F$15,"可以试点","暂不接"))))</f>
        <v/>
      </c>
      <c r="N52" s="21" t="n"/>
      <c r="O52" s="21" t="n"/>
      <c r="P52" s="21" t="n"/>
      <c r="Q52" s="21" t="n"/>
    </row>
    <row r="53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9">
        <f>IF(A53="","",SUM(F53:J53))</f>
        <v/>
      </c>
      <c r="M53" s="9">
        <f>IF(A53="","",IF(AND(K53&lt;&gt;"",K53&lt;&gt;"无"),"慎重：顾问判断",IF(L53&gt;=参数!$F$14,"强烈建议",IF(L53&gt;=参数!$F$15,"可以试点","暂不接"))))</f>
        <v/>
      </c>
      <c r="N53" s="21" t="n"/>
      <c r="O53" s="21" t="n"/>
      <c r="P53" s="21" t="n"/>
      <c r="Q53" s="21" t="n"/>
    </row>
    <row r="54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9">
        <f>IF(A54="","",SUM(F54:J54))</f>
        <v/>
      </c>
      <c r="M54" s="9">
        <f>IF(A54="","",IF(AND(K54&lt;&gt;"",K54&lt;&gt;"无"),"慎重：顾问判断",IF(L54&gt;=参数!$F$14,"强烈建议",IF(L54&gt;=参数!$F$15,"可以试点","暂不接"))))</f>
        <v/>
      </c>
      <c r="N54" s="21" t="n"/>
      <c r="O54" s="21" t="n"/>
      <c r="P54" s="21" t="n"/>
      <c r="Q54" s="21" t="n"/>
    </row>
    <row r="55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9">
        <f>IF(A55="","",SUM(F55:J55))</f>
        <v/>
      </c>
      <c r="M55" s="9">
        <f>IF(A55="","",IF(AND(K55&lt;&gt;"",K55&lt;&gt;"无"),"慎重：顾问判断",IF(L55&gt;=参数!$F$14,"强烈建议",IF(L55&gt;=参数!$F$15,"可以试点","暂不接"))))</f>
        <v/>
      </c>
      <c r="N55" s="21" t="n"/>
      <c r="O55" s="21" t="n"/>
      <c r="P55" s="21" t="n"/>
      <c r="Q55" s="21" t="n"/>
    </row>
    <row r="56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9">
        <f>IF(A56="","",SUM(F56:J56))</f>
        <v/>
      </c>
      <c r="M56" s="9">
        <f>IF(A56="","",IF(AND(K56&lt;&gt;"",K56&lt;&gt;"无"),"慎重：顾问判断",IF(L56&gt;=参数!$F$14,"强烈建议",IF(L56&gt;=参数!$F$15,"可以试点","暂不接"))))</f>
        <v/>
      </c>
      <c r="N56" s="21" t="n"/>
      <c r="O56" s="21" t="n"/>
      <c r="P56" s="21" t="n"/>
      <c r="Q56" s="21" t="n"/>
    </row>
    <row r="57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9">
        <f>IF(A57="","",SUM(F57:J57))</f>
        <v/>
      </c>
      <c r="M57" s="9">
        <f>IF(A57="","",IF(AND(K57&lt;&gt;"",K57&lt;&gt;"无"),"慎重：顾问判断",IF(L57&gt;=参数!$F$14,"强烈建议",IF(L57&gt;=参数!$F$15,"可以试点","暂不接"))))</f>
        <v/>
      </c>
      <c r="N57" s="21" t="n"/>
      <c r="O57" s="21" t="n"/>
      <c r="P57" s="21" t="n"/>
      <c r="Q57" s="21" t="n"/>
    </row>
    <row r="58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9">
        <f>IF(A58="","",SUM(F58:J58))</f>
        <v/>
      </c>
      <c r="M58" s="9">
        <f>IF(A58="","",IF(AND(K58&lt;&gt;"",K58&lt;&gt;"无"),"慎重：顾问判断",IF(L58&gt;=参数!$F$14,"强烈建议",IF(L58&gt;=参数!$F$15,"可以试点","暂不接"))))</f>
        <v/>
      </c>
      <c r="N58" s="21" t="n"/>
      <c r="O58" s="21" t="n"/>
      <c r="P58" s="21" t="n"/>
      <c r="Q58" s="21" t="n"/>
    </row>
    <row r="59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9">
        <f>IF(A59="","",SUM(F59:J59))</f>
        <v/>
      </c>
      <c r="M59" s="9">
        <f>IF(A59="","",IF(AND(K59&lt;&gt;"",K59&lt;&gt;"无"),"慎重：顾问判断",IF(L59&gt;=参数!$F$14,"强烈建议",IF(L59&gt;=参数!$F$15,"可以试点","暂不接"))))</f>
        <v/>
      </c>
      <c r="N59" s="21" t="n"/>
      <c r="O59" s="21" t="n"/>
      <c r="P59" s="21" t="n"/>
      <c r="Q59" s="21" t="n"/>
    </row>
    <row r="60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9">
        <f>IF(A60="","",SUM(F60:J60))</f>
        <v/>
      </c>
      <c r="M60" s="9">
        <f>IF(A60="","",IF(AND(K60&lt;&gt;"",K60&lt;&gt;"无"),"慎重：顾问判断",IF(L60&gt;=参数!$F$14,"强烈建议",IF(L60&gt;=参数!$F$15,"可以试点","暂不接"))))</f>
        <v/>
      </c>
      <c r="N60" s="21" t="n"/>
      <c r="O60" s="21" t="n"/>
      <c r="P60" s="21" t="n"/>
      <c r="Q60" s="21" t="n"/>
    </row>
    <row r="61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9">
        <f>IF(A61="","",SUM(F61:J61))</f>
        <v/>
      </c>
      <c r="M61" s="9">
        <f>IF(A61="","",IF(AND(K61&lt;&gt;"",K61&lt;&gt;"无"),"慎重：顾问判断",IF(L61&gt;=参数!$F$14,"强烈建议",IF(L61&gt;=参数!$F$15,"可以试点","暂不接"))))</f>
        <v/>
      </c>
      <c r="N61" s="21" t="n"/>
      <c r="O61" s="21" t="n"/>
      <c r="P61" s="21" t="n"/>
      <c r="Q61" s="21" t="n"/>
    </row>
    <row r="62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9">
        <f>IF(A62="","",SUM(F62:J62))</f>
        <v/>
      </c>
      <c r="M62" s="9">
        <f>IF(A62="","",IF(AND(K62&lt;&gt;"",K62&lt;&gt;"无"),"慎重：顾问判断",IF(L62&gt;=参数!$F$14,"强烈建议",IF(L62&gt;=参数!$F$15,"可以试点","暂不接"))))</f>
        <v/>
      </c>
      <c r="N62" s="21" t="n"/>
      <c r="O62" s="21" t="n"/>
      <c r="P62" s="21" t="n"/>
      <c r="Q62" s="21" t="n"/>
    </row>
    <row r="63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9">
        <f>IF(A63="","",SUM(F63:J63))</f>
        <v/>
      </c>
      <c r="M63" s="9">
        <f>IF(A63="","",IF(AND(K63&lt;&gt;"",K63&lt;&gt;"无"),"慎重：顾问判断",IF(L63&gt;=参数!$F$14,"强烈建议",IF(L63&gt;=参数!$F$15,"可以试点","暂不接"))))</f>
        <v/>
      </c>
      <c r="N63" s="21" t="n"/>
      <c r="O63" s="21" t="n"/>
      <c r="P63" s="21" t="n"/>
      <c r="Q63" s="21" t="n"/>
    </row>
    <row r="64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9">
        <f>IF(A64="","",SUM(F64:J64))</f>
        <v/>
      </c>
      <c r="M64" s="9">
        <f>IF(A64="","",IF(AND(K64&lt;&gt;"",K64&lt;&gt;"无"),"慎重：顾问判断",IF(L64&gt;=参数!$F$14,"强烈建议",IF(L64&gt;=参数!$F$15,"可以试点","暂不接"))))</f>
        <v/>
      </c>
      <c r="N64" s="21" t="n"/>
      <c r="O64" s="21" t="n"/>
      <c r="P64" s="21" t="n"/>
      <c r="Q64" s="21" t="n"/>
    </row>
    <row r="65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9">
        <f>IF(A65="","",SUM(F65:J65))</f>
        <v/>
      </c>
      <c r="M65" s="9">
        <f>IF(A65="","",IF(AND(K65&lt;&gt;"",K65&lt;&gt;"无"),"慎重：顾问判断",IF(L65&gt;=参数!$F$14,"强烈建议",IF(L65&gt;=参数!$F$15,"可以试点","暂不接"))))</f>
        <v/>
      </c>
      <c r="N65" s="21" t="n"/>
      <c r="O65" s="21" t="n"/>
      <c r="P65" s="21" t="n"/>
      <c r="Q65" s="21" t="n"/>
    </row>
    <row r="66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9">
        <f>IF(A66="","",SUM(F66:J66))</f>
        <v/>
      </c>
      <c r="M66" s="9">
        <f>IF(A66="","",IF(AND(K66&lt;&gt;"",K66&lt;&gt;"无"),"慎重：顾问判断",IF(L66&gt;=参数!$F$14,"强烈建议",IF(L66&gt;=参数!$F$15,"可以试点","暂不接"))))</f>
        <v/>
      </c>
      <c r="N66" s="21" t="n"/>
      <c r="O66" s="21" t="n"/>
      <c r="P66" s="21" t="n"/>
      <c r="Q66" s="21" t="n"/>
    </row>
    <row r="67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9">
        <f>IF(A67="","",SUM(F67:J67))</f>
        <v/>
      </c>
      <c r="M67" s="9">
        <f>IF(A67="","",IF(AND(K67&lt;&gt;"",K67&lt;&gt;"无"),"慎重：顾问判断",IF(L67&gt;=参数!$F$14,"强烈建议",IF(L67&gt;=参数!$F$15,"可以试点","暂不接"))))</f>
        <v/>
      </c>
      <c r="N67" s="21" t="n"/>
      <c r="O67" s="21" t="n"/>
      <c r="P67" s="21" t="n"/>
      <c r="Q67" s="21" t="n"/>
    </row>
    <row r="68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9">
        <f>IF(A68="","",SUM(F68:J68))</f>
        <v/>
      </c>
      <c r="M68" s="9">
        <f>IF(A68="","",IF(AND(K68&lt;&gt;"",K68&lt;&gt;"无"),"慎重：顾问判断",IF(L68&gt;=参数!$F$14,"强烈建议",IF(L68&gt;=参数!$F$15,"可以试点","暂不接"))))</f>
        <v/>
      </c>
      <c r="N68" s="21" t="n"/>
      <c r="O68" s="21" t="n"/>
      <c r="P68" s="21" t="n"/>
      <c r="Q68" s="21" t="n"/>
    </row>
    <row r="69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9">
        <f>IF(A69="","",SUM(F69:J69))</f>
        <v/>
      </c>
      <c r="M69" s="9">
        <f>IF(A69="","",IF(AND(K69&lt;&gt;"",K69&lt;&gt;"无"),"慎重：顾问判断",IF(L69&gt;=参数!$F$14,"强烈建议",IF(L69&gt;=参数!$F$15,"可以试点","暂不接"))))</f>
        <v/>
      </c>
      <c r="N69" s="21" t="n"/>
      <c r="O69" s="21" t="n"/>
      <c r="P69" s="21" t="n"/>
      <c r="Q69" s="21" t="n"/>
    </row>
    <row r="70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9">
        <f>IF(A70="","",SUM(F70:J70))</f>
        <v/>
      </c>
      <c r="M70" s="9">
        <f>IF(A70="","",IF(AND(K70&lt;&gt;"",K70&lt;&gt;"无"),"慎重：顾问判断",IF(L70&gt;=参数!$F$14,"强烈建议",IF(L70&gt;=参数!$F$15,"可以试点","暂不接"))))</f>
        <v/>
      </c>
      <c r="N70" s="21" t="n"/>
      <c r="O70" s="21" t="n"/>
      <c r="P70" s="21" t="n"/>
      <c r="Q70" s="21" t="n"/>
    </row>
    <row r="71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9">
        <f>IF(A71="","",SUM(F71:J71))</f>
        <v/>
      </c>
      <c r="M71" s="9">
        <f>IF(A71="","",IF(AND(K71&lt;&gt;"",K71&lt;&gt;"无"),"慎重：顾问判断",IF(L71&gt;=参数!$F$14,"强烈建议",IF(L71&gt;=参数!$F$15,"可以试点","暂不接"))))</f>
        <v/>
      </c>
      <c r="N71" s="21" t="n"/>
      <c r="O71" s="21" t="n"/>
      <c r="P71" s="21" t="n"/>
      <c r="Q71" s="21" t="n"/>
    </row>
    <row r="72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9">
        <f>IF(A72="","",SUM(F72:J72))</f>
        <v/>
      </c>
      <c r="M72" s="9">
        <f>IF(A72="","",IF(AND(K72&lt;&gt;"",K72&lt;&gt;"无"),"慎重：顾问判断",IF(L72&gt;=参数!$F$14,"强烈建议",IF(L72&gt;=参数!$F$15,"可以试点","暂不接"))))</f>
        <v/>
      </c>
      <c r="N72" s="21" t="n"/>
      <c r="O72" s="21" t="n"/>
      <c r="P72" s="21" t="n"/>
      <c r="Q72" s="21" t="n"/>
    </row>
    <row r="73">
      <c r="A73" s="21" t="n"/>
      <c r="B73" s="21" t="n"/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9">
        <f>IF(A73="","",SUM(F73:J73))</f>
        <v/>
      </c>
      <c r="M73" s="9">
        <f>IF(A73="","",IF(AND(K73&lt;&gt;"",K73&lt;&gt;"无"),"慎重：顾问判断",IF(L73&gt;=参数!$F$14,"强烈建议",IF(L73&gt;=参数!$F$15,"可以试点","暂不接"))))</f>
        <v/>
      </c>
      <c r="N73" s="21" t="n"/>
      <c r="O73" s="21" t="n"/>
      <c r="P73" s="21" t="n"/>
      <c r="Q73" s="21" t="n"/>
    </row>
    <row r="74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9">
        <f>IF(A74="","",SUM(F74:J74))</f>
        <v/>
      </c>
      <c r="M74" s="9">
        <f>IF(A74="","",IF(AND(K74&lt;&gt;"",K74&lt;&gt;"无"),"慎重：顾问判断",IF(L74&gt;=参数!$F$14,"强烈建议",IF(L74&gt;=参数!$F$15,"可以试点","暂不接"))))</f>
        <v/>
      </c>
      <c r="N74" s="21" t="n"/>
      <c r="O74" s="21" t="n"/>
      <c r="P74" s="21" t="n"/>
      <c r="Q74" s="21" t="n"/>
    </row>
    <row r="75">
      <c r="A75" s="21" t="n"/>
      <c r="B75" s="21" t="n"/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9">
        <f>IF(A75="","",SUM(F75:J75))</f>
        <v/>
      </c>
      <c r="M75" s="9">
        <f>IF(A75="","",IF(AND(K75&lt;&gt;"",K75&lt;&gt;"无"),"慎重：顾问判断",IF(L75&gt;=参数!$F$14,"强烈建议",IF(L75&gt;=参数!$F$15,"可以试点","暂不接"))))</f>
        <v/>
      </c>
      <c r="N75" s="21" t="n"/>
      <c r="O75" s="21" t="n"/>
      <c r="P75" s="21" t="n"/>
      <c r="Q75" s="21" t="n"/>
    </row>
    <row r="76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9">
        <f>IF(A76="","",SUM(F76:J76))</f>
        <v/>
      </c>
      <c r="M76" s="9">
        <f>IF(A76="","",IF(AND(K76&lt;&gt;"",K76&lt;&gt;"无"),"慎重：顾问判断",IF(L76&gt;=参数!$F$14,"强烈建议",IF(L76&gt;=参数!$F$15,"可以试点","暂不接"))))</f>
        <v/>
      </c>
      <c r="N76" s="21" t="n"/>
      <c r="O76" s="21" t="n"/>
      <c r="P76" s="21" t="n"/>
      <c r="Q76" s="21" t="n"/>
    </row>
    <row r="77">
      <c r="A77" s="21" t="n"/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9">
        <f>IF(A77="","",SUM(F77:J77))</f>
        <v/>
      </c>
      <c r="M77" s="9">
        <f>IF(A77="","",IF(AND(K77&lt;&gt;"",K77&lt;&gt;"无"),"慎重：顾问判断",IF(L77&gt;=参数!$F$14,"强烈建议",IF(L77&gt;=参数!$F$15,"可以试点","暂不接"))))</f>
        <v/>
      </c>
      <c r="N77" s="21" t="n"/>
      <c r="O77" s="21" t="n"/>
      <c r="P77" s="21" t="n"/>
      <c r="Q77" s="21" t="n"/>
    </row>
    <row r="78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9">
        <f>IF(A78="","",SUM(F78:J78))</f>
        <v/>
      </c>
      <c r="M78" s="9">
        <f>IF(A78="","",IF(AND(K78&lt;&gt;"",K78&lt;&gt;"无"),"慎重：顾问判断",IF(L78&gt;=参数!$F$14,"强烈建议",IF(L78&gt;=参数!$F$15,"可以试点","暂不接"))))</f>
        <v/>
      </c>
      <c r="N78" s="21" t="n"/>
      <c r="O78" s="21" t="n"/>
      <c r="P78" s="21" t="n"/>
      <c r="Q78" s="21" t="n"/>
    </row>
    <row r="79">
      <c r="A79" s="21" t="n"/>
      <c r="B79" s="21" t="n"/>
      <c r="C79" s="21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9">
        <f>IF(A79="","",SUM(F79:J79))</f>
        <v/>
      </c>
      <c r="M79" s="9">
        <f>IF(A79="","",IF(AND(K79&lt;&gt;"",K79&lt;&gt;"无"),"慎重：顾问判断",IF(L79&gt;=参数!$F$14,"强烈建议",IF(L79&gt;=参数!$F$15,"可以试点","暂不接"))))</f>
        <v/>
      </c>
      <c r="N79" s="21" t="n"/>
      <c r="O79" s="21" t="n"/>
      <c r="P79" s="21" t="n"/>
      <c r="Q79" s="21" t="n"/>
    </row>
    <row r="80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9">
        <f>IF(A80="","",SUM(F80:J80))</f>
        <v/>
      </c>
      <c r="M80" s="9">
        <f>IF(A80="","",IF(AND(K80&lt;&gt;"",K80&lt;&gt;"无"),"慎重：顾问判断",IF(L80&gt;=参数!$F$14,"强烈建议",IF(L80&gt;=参数!$F$15,"可以试点","暂不接"))))</f>
        <v/>
      </c>
      <c r="N80" s="21" t="n"/>
      <c r="O80" s="21" t="n"/>
      <c r="P80" s="21" t="n"/>
      <c r="Q80" s="21" t="n"/>
    </row>
    <row r="81">
      <c r="A81" s="21" t="n"/>
      <c r="B81" s="21" t="n"/>
      <c r="C81" s="21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9">
        <f>IF(A81="","",SUM(F81:J81))</f>
        <v/>
      </c>
      <c r="M81" s="9">
        <f>IF(A81="","",IF(AND(K81&lt;&gt;"",K81&lt;&gt;"无"),"慎重：顾问判断",IF(L81&gt;=参数!$F$14,"强烈建议",IF(L81&gt;=参数!$F$15,"可以试点","暂不接"))))</f>
        <v/>
      </c>
      <c r="N81" s="21" t="n"/>
      <c r="O81" s="21" t="n"/>
      <c r="P81" s="21" t="n"/>
      <c r="Q81" s="21" t="n"/>
    </row>
    <row r="82">
      <c r="A82" s="21" t="n"/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9">
        <f>IF(A82="","",SUM(F82:J82))</f>
        <v/>
      </c>
      <c r="M82" s="9">
        <f>IF(A82="","",IF(AND(K82&lt;&gt;"",K82&lt;&gt;"无"),"慎重：顾问判断",IF(L82&gt;=参数!$F$14,"强烈建议",IF(L82&gt;=参数!$F$15,"可以试点","暂不接"))))</f>
        <v/>
      </c>
      <c r="N82" s="21" t="n"/>
      <c r="O82" s="21" t="n"/>
      <c r="P82" s="21" t="n"/>
      <c r="Q82" s="21" t="n"/>
    </row>
    <row r="83">
      <c r="A83" s="21" t="n"/>
      <c r="B83" s="21" t="n"/>
      <c r="C83" s="21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9">
        <f>IF(A83="","",SUM(F83:J83))</f>
        <v/>
      </c>
      <c r="M83" s="9">
        <f>IF(A83="","",IF(AND(K83&lt;&gt;"",K83&lt;&gt;"无"),"慎重：顾问判断",IF(L83&gt;=参数!$F$14,"强烈建议",IF(L83&gt;=参数!$F$15,"可以试点","暂不接"))))</f>
        <v/>
      </c>
      <c r="N83" s="21" t="n"/>
      <c r="O83" s="21" t="n"/>
      <c r="P83" s="21" t="n"/>
      <c r="Q83" s="21" t="n"/>
    </row>
    <row r="84">
      <c r="A84" s="21" t="n"/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9">
        <f>IF(A84="","",SUM(F84:J84))</f>
        <v/>
      </c>
      <c r="M84" s="9">
        <f>IF(A84="","",IF(AND(K84&lt;&gt;"",K84&lt;&gt;"无"),"慎重：顾问判断",IF(L84&gt;=参数!$F$14,"强烈建议",IF(L84&gt;=参数!$F$15,"可以试点","暂不接"))))</f>
        <v/>
      </c>
      <c r="N84" s="21" t="n"/>
      <c r="O84" s="21" t="n"/>
      <c r="P84" s="21" t="n"/>
      <c r="Q84" s="21" t="n"/>
    </row>
    <row r="85">
      <c r="A85" s="21" t="n"/>
      <c r="B85" s="21" t="n"/>
      <c r="C85" s="21" t="n"/>
      <c r="D85" s="21" t="n"/>
      <c r="E85" s="21" t="n"/>
      <c r="F85" s="21" t="n"/>
      <c r="G85" s="21" t="n"/>
      <c r="H85" s="21" t="n"/>
      <c r="I85" s="21" t="n"/>
      <c r="J85" s="21" t="n"/>
      <c r="K85" s="21" t="n"/>
      <c r="L85" s="9">
        <f>IF(A85="","",SUM(F85:J85))</f>
        <v/>
      </c>
      <c r="M85" s="9">
        <f>IF(A85="","",IF(AND(K85&lt;&gt;"",K85&lt;&gt;"无"),"慎重：顾问判断",IF(L85&gt;=参数!$F$14,"强烈建议",IF(L85&gt;=参数!$F$15,"可以试点","暂不接"))))</f>
        <v/>
      </c>
      <c r="N85" s="21" t="n"/>
      <c r="O85" s="21" t="n"/>
      <c r="P85" s="21" t="n"/>
      <c r="Q85" s="21" t="n"/>
    </row>
    <row r="86">
      <c r="A86" s="21" t="n"/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9">
        <f>IF(A86="","",SUM(F86:J86))</f>
        <v/>
      </c>
      <c r="M86" s="9">
        <f>IF(A86="","",IF(AND(K86&lt;&gt;"",K86&lt;&gt;"无"),"慎重：顾问判断",IF(L86&gt;=参数!$F$14,"强烈建议",IF(L86&gt;=参数!$F$15,"可以试点","暂不接"))))</f>
        <v/>
      </c>
      <c r="N86" s="21" t="n"/>
      <c r="O86" s="21" t="n"/>
      <c r="P86" s="21" t="n"/>
      <c r="Q86" s="21" t="n"/>
    </row>
    <row r="87">
      <c r="A87" s="21" t="n"/>
      <c r="B87" s="21" t="n"/>
      <c r="C87" s="21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9">
        <f>IF(A87="","",SUM(F87:J87))</f>
        <v/>
      </c>
      <c r="M87" s="9">
        <f>IF(A87="","",IF(AND(K87&lt;&gt;"",K87&lt;&gt;"无"),"慎重：顾问判断",IF(L87&gt;=参数!$F$14,"强烈建议",IF(L87&gt;=参数!$F$15,"可以试点","暂不接"))))</f>
        <v/>
      </c>
      <c r="N87" s="21" t="n"/>
      <c r="O87" s="21" t="n"/>
      <c r="P87" s="21" t="n"/>
      <c r="Q87" s="21" t="n"/>
    </row>
    <row r="88">
      <c r="A88" s="21" t="n"/>
      <c r="B88" s="21" t="n"/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9">
        <f>IF(A88="","",SUM(F88:J88))</f>
        <v/>
      </c>
      <c r="M88" s="9">
        <f>IF(A88="","",IF(AND(K88&lt;&gt;"",K88&lt;&gt;"无"),"慎重：顾问判断",IF(L88&gt;=参数!$F$14,"强烈建议",IF(L88&gt;=参数!$F$15,"可以试点","暂不接"))))</f>
        <v/>
      </c>
      <c r="N88" s="21" t="n"/>
      <c r="O88" s="21" t="n"/>
      <c r="P88" s="21" t="n"/>
      <c r="Q88" s="21" t="n"/>
    </row>
    <row r="89">
      <c r="A89" s="21" t="n"/>
      <c r="B89" s="21" t="n"/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9">
        <f>IF(A89="","",SUM(F89:J89))</f>
        <v/>
      </c>
      <c r="M89" s="9">
        <f>IF(A89="","",IF(AND(K89&lt;&gt;"",K89&lt;&gt;"无"),"慎重：顾问判断",IF(L89&gt;=参数!$F$14,"强烈建议",IF(L89&gt;=参数!$F$15,"可以试点","暂不接"))))</f>
        <v/>
      </c>
      <c r="N89" s="21" t="n"/>
      <c r="O89" s="21" t="n"/>
      <c r="P89" s="21" t="n"/>
      <c r="Q89" s="21" t="n"/>
    </row>
    <row r="90">
      <c r="A90" s="21" t="n"/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9">
        <f>IF(A90="","",SUM(F90:J90))</f>
        <v/>
      </c>
      <c r="M90" s="9">
        <f>IF(A90="","",IF(AND(K90&lt;&gt;"",K90&lt;&gt;"无"),"慎重：顾问判断",IF(L90&gt;=参数!$F$14,"强烈建议",IF(L90&gt;=参数!$F$15,"可以试点","暂不接"))))</f>
        <v/>
      </c>
      <c r="N90" s="21" t="n"/>
      <c r="O90" s="21" t="n"/>
      <c r="P90" s="21" t="n"/>
      <c r="Q90" s="21" t="n"/>
    </row>
    <row r="91">
      <c r="A91" s="21" t="n"/>
      <c r="B91" s="21" t="n"/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9">
        <f>IF(A91="","",SUM(F91:J91))</f>
        <v/>
      </c>
      <c r="M91" s="9">
        <f>IF(A91="","",IF(AND(K91&lt;&gt;"",K91&lt;&gt;"无"),"慎重：顾问判断",IF(L91&gt;=参数!$F$14,"强烈建议",IF(L91&gt;=参数!$F$15,"可以试点","暂不接"))))</f>
        <v/>
      </c>
      <c r="N91" s="21" t="n"/>
      <c r="O91" s="21" t="n"/>
      <c r="P91" s="21" t="n"/>
      <c r="Q91" s="21" t="n"/>
    </row>
    <row r="92">
      <c r="A92" s="21" t="n"/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9">
        <f>IF(A92="","",SUM(F92:J92))</f>
        <v/>
      </c>
      <c r="M92" s="9">
        <f>IF(A92="","",IF(AND(K92&lt;&gt;"",K92&lt;&gt;"无"),"慎重：顾问判断",IF(L92&gt;=参数!$F$14,"强烈建议",IF(L92&gt;=参数!$F$15,"可以试点","暂不接"))))</f>
        <v/>
      </c>
      <c r="N92" s="21" t="n"/>
      <c r="O92" s="21" t="n"/>
      <c r="P92" s="21" t="n"/>
      <c r="Q92" s="21" t="n"/>
    </row>
    <row r="93">
      <c r="A93" s="21" t="n"/>
      <c r="B93" s="21" t="n"/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9">
        <f>IF(A93="","",SUM(F93:J93))</f>
        <v/>
      </c>
      <c r="M93" s="9">
        <f>IF(A93="","",IF(AND(K93&lt;&gt;"",K93&lt;&gt;"无"),"慎重：顾问判断",IF(L93&gt;=参数!$F$14,"强烈建议",IF(L93&gt;=参数!$F$15,"可以试点","暂不接"))))</f>
        <v/>
      </c>
      <c r="N93" s="21" t="n"/>
      <c r="O93" s="21" t="n"/>
      <c r="P93" s="21" t="n"/>
      <c r="Q93" s="21" t="n"/>
    </row>
    <row r="94">
      <c r="A94" s="21" t="n"/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9">
        <f>IF(A94="","",SUM(F94:J94))</f>
        <v/>
      </c>
      <c r="M94" s="9">
        <f>IF(A94="","",IF(AND(K94&lt;&gt;"",K94&lt;&gt;"无"),"慎重：顾问判断",IF(L94&gt;=参数!$F$14,"强烈建议",IF(L94&gt;=参数!$F$15,"可以试点","暂不接"))))</f>
        <v/>
      </c>
      <c r="N94" s="21" t="n"/>
      <c r="O94" s="21" t="n"/>
      <c r="P94" s="21" t="n"/>
      <c r="Q94" s="21" t="n"/>
    </row>
    <row r="95">
      <c r="A95" s="21" t="n"/>
      <c r="B95" s="21" t="n"/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9">
        <f>IF(A95="","",SUM(F95:J95))</f>
        <v/>
      </c>
      <c r="M95" s="9">
        <f>IF(A95="","",IF(AND(K95&lt;&gt;"",K95&lt;&gt;"无"),"慎重：顾问判断",IF(L95&gt;=参数!$F$14,"强烈建议",IF(L95&gt;=参数!$F$15,"可以试点","暂不接"))))</f>
        <v/>
      </c>
      <c r="N95" s="21" t="n"/>
      <c r="O95" s="21" t="n"/>
      <c r="P95" s="21" t="n"/>
      <c r="Q95" s="21" t="n"/>
    </row>
    <row r="96">
      <c r="A96" s="21" t="n"/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9">
        <f>IF(A96="","",SUM(F96:J96))</f>
        <v/>
      </c>
      <c r="M96" s="9">
        <f>IF(A96="","",IF(AND(K96&lt;&gt;"",K96&lt;&gt;"无"),"慎重：顾问判断",IF(L96&gt;=参数!$F$14,"强烈建议",IF(L96&gt;=参数!$F$15,"可以试点","暂不接"))))</f>
        <v/>
      </c>
      <c r="N96" s="21" t="n"/>
      <c r="O96" s="21" t="n"/>
      <c r="P96" s="21" t="n"/>
      <c r="Q96" s="21" t="n"/>
    </row>
    <row r="97">
      <c r="A97" s="21" t="n"/>
      <c r="B97" s="21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9">
        <f>IF(A97="","",SUM(F97:J97))</f>
        <v/>
      </c>
      <c r="M97" s="9">
        <f>IF(A97="","",IF(AND(K97&lt;&gt;"",K97&lt;&gt;"无"),"慎重：顾问判断",IF(L97&gt;=参数!$F$14,"强烈建议",IF(L97&gt;=参数!$F$15,"可以试点","暂不接"))))</f>
        <v/>
      </c>
      <c r="N97" s="21" t="n"/>
      <c r="O97" s="21" t="n"/>
      <c r="P97" s="21" t="n"/>
      <c r="Q97" s="21" t="n"/>
    </row>
    <row r="98">
      <c r="A98" s="21" t="n"/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9">
        <f>IF(A98="","",SUM(F98:J98))</f>
        <v/>
      </c>
      <c r="M98" s="9">
        <f>IF(A98="","",IF(AND(K98&lt;&gt;"",K98&lt;&gt;"无"),"慎重：顾问判断",IF(L98&gt;=参数!$F$14,"强烈建议",IF(L98&gt;=参数!$F$15,"可以试点","暂不接"))))</f>
        <v/>
      </c>
      <c r="N98" s="21" t="n"/>
      <c r="O98" s="21" t="n"/>
      <c r="P98" s="21" t="n"/>
      <c r="Q98" s="21" t="n"/>
    </row>
    <row r="99">
      <c r="A99" s="21" t="n"/>
      <c r="B99" s="21" t="n"/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9">
        <f>IF(A99="","",SUM(F99:J99))</f>
        <v/>
      </c>
      <c r="M99" s="9">
        <f>IF(A99="","",IF(AND(K99&lt;&gt;"",K99&lt;&gt;"无"),"慎重：顾问判断",IF(L99&gt;=参数!$F$14,"强烈建议",IF(L99&gt;=参数!$F$15,"可以试点","暂不接"))))</f>
        <v/>
      </c>
      <c r="N99" s="21" t="n"/>
      <c r="O99" s="21" t="n"/>
      <c r="P99" s="21" t="n"/>
      <c r="Q99" s="21" t="n"/>
    </row>
    <row r="100">
      <c r="A100" s="21" t="n"/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9">
        <f>IF(A100="","",SUM(F100:J100))</f>
        <v/>
      </c>
      <c r="M100" s="9">
        <f>IF(A100="","",IF(AND(K100&lt;&gt;"",K100&lt;&gt;"无"),"慎重：顾问判断",IF(L100&gt;=参数!$F$14,"强烈建议",IF(L100&gt;=参数!$F$15,"可以试点","暂不接"))))</f>
        <v/>
      </c>
      <c r="N100" s="21" t="n"/>
      <c r="O100" s="21" t="n"/>
      <c r="P100" s="21" t="n"/>
      <c r="Q100" s="21" t="n"/>
    </row>
    <row r="101">
      <c r="A101" s="21" t="n"/>
      <c r="B101" s="21" t="n"/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9">
        <f>IF(A101="","",SUM(F101:J101))</f>
        <v/>
      </c>
      <c r="M101" s="9">
        <f>IF(A101="","",IF(AND(K101&lt;&gt;"",K101&lt;&gt;"无"),"慎重：顾问判断",IF(L101&gt;=参数!$F$14,"强烈建议",IF(L101&gt;=参数!$F$15,"可以试点","暂不接"))))</f>
        <v/>
      </c>
      <c r="N101" s="21" t="n"/>
      <c r="O101" s="21" t="n"/>
      <c r="P101" s="21" t="n"/>
      <c r="Q101" s="21" t="n"/>
    </row>
    <row r="102">
      <c r="A102" s="21" t="n"/>
      <c r="B102" s="21" t="n"/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9">
        <f>IF(A102="","",SUM(F102:J102))</f>
        <v/>
      </c>
      <c r="M102" s="9">
        <f>IF(A102="","",IF(AND(K102&lt;&gt;"",K102&lt;&gt;"无"),"慎重：顾问判断",IF(L102&gt;=参数!$F$14,"强烈建议",IF(L102&gt;=参数!$F$15,"可以试点","暂不接"))))</f>
        <v/>
      </c>
      <c r="N102" s="21" t="n"/>
      <c r="O102" s="21" t="n"/>
      <c r="P102" s="21" t="n"/>
      <c r="Q102" s="21" t="n"/>
    </row>
    <row r="103">
      <c r="A103" s="21" t="n"/>
      <c r="B103" s="21" t="n"/>
      <c r="C103" s="21" t="n"/>
      <c r="D103" s="21" t="n"/>
      <c r="E103" s="21" t="n"/>
      <c r="F103" s="21" t="n"/>
      <c r="G103" s="21" t="n"/>
      <c r="H103" s="21" t="n"/>
      <c r="I103" s="21" t="n"/>
      <c r="J103" s="21" t="n"/>
      <c r="K103" s="21" t="n"/>
      <c r="L103" s="9">
        <f>IF(A103="","",SUM(F103:J103))</f>
        <v/>
      </c>
      <c r="M103" s="9">
        <f>IF(A103="","",IF(AND(K103&lt;&gt;"",K103&lt;&gt;"无"),"慎重：顾问判断",IF(L103&gt;=参数!$F$14,"强烈建议",IF(L103&gt;=参数!$F$15,"可以试点","暂不接"))))</f>
        <v/>
      </c>
      <c r="N103" s="21" t="n"/>
      <c r="O103" s="21" t="n"/>
      <c r="P103" s="21" t="n"/>
      <c r="Q103" s="21" t="n"/>
    </row>
    <row r="104">
      <c r="A104" s="21" t="n"/>
      <c r="B104" s="21" t="n"/>
      <c r="C104" s="21" t="n"/>
      <c r="D104" s="21" t="n"/>
      <c r="E104" s="21" t="n"/>
      <c r="F104" s="21" t="n"/>
      <c r="G104" s="21" t="n"/>
      <c r="H104" s="21" t="n"/>
      <c r="I104" s="21" t="n"/>
      <c r="J104" s="21" t="n"/>
      <c r="K104" s="21" t="n"/>
      <c r="L104" s="9">
        <f>IF(A104="","",SUM(F104:J104))</f>
        <v/>
      </c>
      <c r="M104" s="9">
        <f>IF(A104="","",IF(AND(K104&lt;&gt;"",K104&lt;&gt;"无"),"慎重：顾问判断",IF(L104&gt;=参数!$F$14,"强烈建议",IF(L104&gt;=参数!$F$15,"可以试点","暂不接"))))</f>
        <v/>
      </c>
      <c r="N104" s="21" t="n"/>
      <c r="O104" s="21" t="n"/>
      <c r="P104" s="21" t="n"/>
      <c r="Q104" s="21" t="n"/>
    </row>
  </sheetData>
  <dataValidations count="4">
    <dataValidation sqref="E5:E104" showDropDown="0" showInputMessage="0" showErrorMessage="1" allowBlank="1" error="请从下拉列表中选择" type="list">
      <formula1>参数!$H$5:$H$7</formula1>
    </dataValidation>
    <dataValidation sqref="K5:K104" showDropDown="0" showInputMessage="0" showErrorMessage="1" allowBlank="1" error="请从下拉列表中选择" type="list">
      <formula1>参数!$N$5:$N$9</formula1>
    </dataValidation>
    <dataValidation sqref="N5:N104" showDropDown="0" showInputMessage="0" showErrorMessage="1" allowBlank="1" error="请从下拉列表中选择" type="list">
      <formula1>"接,不接,待定"</formula1>
    </dataValidation>
    <dataValidation sqref="F5:J104" showDropDown="0" showInputMessage="0" showErrorMessage="1" allowBlank="1" error="请输入 0、1 或 2" type="whole" operator="between">
      <formula1>0</formula1>
      <formula2>2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9" customWidth="1" min="4" max="4"/>
    <col width="12" customWidth="1" min="5" max="5"/>
    <col width="14" customWidth="1" min="6" max="6"/>
    <col width="12" customWidth="1" min="7" max="7"/>
    <col width="28" customWidth="1" min="8" max="8"/>
    <col width="16" customWidth="1" min="9" max="9"/>
    <col width="13" customWidth="1" min="10" max="10"/>
    <col width="12" customWidth="1" min="11" max="11"/>
    <col width="13" customWidth="1" min="12" max="12"/>
    <col width="12" customWidth="1" min="13" max="13"/>
    <col width="11" customWidth="1" min="14" max="14"/>
    <col width="12" customWidth="1" min="15" max="15"/>
    <col width="22" customWidth="1" min="16" max="16"/>
    <col width="12" customWidth="1" min="17" max="17"/>
    <col width="20" customWidth="1" min="18" max="18"/>
  </cols>
  <sheetData>
    <row r="1">
      <c r="A1" s="1" t="inlineStr">
        <is>
          <t>客户台账（会员线 + 专项线）</t>
        </is>
      </c>
    </row>
    <row r="2">
      <c r="A2" s="2" t="inlineStr">
        <is>
          <t>每家企业一行，企业编号全表唯一。KPI看板按本表前50行逐行汇总。</t>
        </is>
      </c>
    </row>
    <row r="4" ht="32" customHeight="1">
      <c r="A4" s="8" t="inlineStr">
        <is>
          <t>企业编号</t>
        </is>
      </c>
      <c r="B4" s="8" t="inlineStr">
        <is>
          <t>企业简称</t>
        </is>
      </c>
      <c r="C4" s="8" t="inlineStr">
        <is>
          <t>行业</t>
        </is>
      </c>
      <c r="D4" s="8" t="inlineStr">
        <is>
          <t>线别</t>
        </is>
      </c>
      <c r="E4" s="8" t="inlineStr">
        <is>
          <t>来源渠道</t>
        </is>
      </c>
      <c r="F4" s="8" t="inlineStr">
        <is>
          <t>联系人及角色</t>
        </is>
      </c>
      <c r="G4" s="8" t="inlineStr">
        <is>
          <t>初次接触日期</t>
        </is>
      </c>
      <c r="H4" s="8" t="inlineStr">
        <is>
          <t>主要需求/老板主诉</t>
        </is>
      </c>
      <c r="I4" s="8" t="inlineStr">
        <is>
          <t>当前状态</t>
        </is>
      </c>
      <c r="J4" s="8" t="inlineStr">
        <is>
          <t>产品/套餐</t>
        </is>
      </c>
      <c r="K4" s="8" t="inlineStr">
        <is>
          <t>体验/项目开始日</t>
        </is>
      </c>
      <c r="L4" s="8" t="inlineStr">
        <is>
          <t>30天体验结束日
(会员线自动)</t>
        </is>
      </c>
      <c r="M4" s="8" t="inlineStr">
        <is>
          <t>专项验收日</t>
        </is>
      </c>
      <c r="N4" s="8" t="inlineStr">
        <is>
          <t>累计实收(元)</t>
        </is>
      </c>
      <c r="O4" s="8" t="inlineStr">
        <is>
          <t>转正/成交日期</t>
        </is>
      </c>
      <c r="P4" s="8" t="inlineStr">
        <is>
          <t>未转正/未成交原因</t>
        </is>
      </c>
      <c r="Q4" s="8" t="inlineStr">
        <is>
          <t>下次跟进日期</t>
        </is>
      </c>
      <c r="R4" s="8" t="inlineStr">
        <is>
          <t>备注</t>
        </is>
      </c>
    </row>
    <row r="5">
      <c r="A5" s="20" t="inlineStr">
        <is>
          <t>示例-01</t>
        </is>
      </c>
      <c r="B5" s="20" t="inlineStr">
        <is>
          <t>黔味商贸</t>
        </is>
      </c>
      <c r="C5" s="20" t="inlineStr">
        <is>
          <t>商贸批发</t>
        </is>
      </c>
      <c r="D5" s="20" t="inlineStr">
        <is>
          <t>会员线</t>
        </is>
      </c>
      <c r="E5" s="20" t="inlineStr">
        <is>
          <t>熟人介绍</t>
        </is>
      </c>
      <c r="F5" s="20" t="inlineStr">
        <is>
          <t>王总/老板</t>
        </is>
      </c>
      <c r="G5" s="22" t="n">
        <v>46305</v>
      </c>
      <c r="H5" s="20" t="inlineStr">
        <is>
          <t>应收增长快于销售，现金紧</t>
        </is>
      </c>
      <c r="I5" s="20" t="inlineStr">
        <is>
          <t>体验中（已付99元）</t>
        </is>
      </c>
      <c r="J5" s="20" t="inlineStr">
        <is>
          <t>99元体验</t>
        </is>
      </c>
      <c r="K5" s="22" t="n">
        <v>46310</v>
      </c>
      <c r="L5" s="23">
        <f>IF(OR(K5="",D5&lt;&gt;"会员线"),"",K5+29)</f>
        <v/>
      </c>
      <c r="M5" s="24" t="n"/>
      <c r="N5" s="25" t="n">
        <v>99</v>
      </c>
      <c r="O5" s="24" t="n"/>
      <c r="P5" s="21" t="n"/>
      <c r="Q5" s="22" t="n">
        <v>46317</v>
      </c>
      <c r="R5" s="20" t="inlineStr">
        <is>
          <t>示例行，使用前删除</t>
        </is>
      </c>
    </row>
    <row r="6">
      <c r="A6" s="20" t="inlineStr">
        <is>
          <t>示例-02</t>
        </is>
      </c>
      <c r="B6" s="20" t="inlineStr">
        <is>
          <t>某连锁餐饮</t>
        </is>
      </c>
      <c r="C6" s="20" t="inlineStr">
        <is>
          <t>餐饮</t>
        </is>
      </c>
      <c r="D6" s="20" t="inlineStr">
        <is>
          <t>专项线</t>
        </is>
      </c>
      <c r="E6" s="20" t="inlineStr">
        <is>
          <t>客户转介绍</t>
        </is>
      </c>
      <c r="F6" s="20" t="inlineStr">
        <is>
          <t>李总/创始人</t>
        </is>
      </c>
      <c r="G6" s="22" t="n">
        <v>46307</v>
      </c>
      <c r="H6" s="20" t="inlineStr">
        <is>
          <t>第4家店该不该开</t>
        </is>
      </c>
      <c r="I6" s="20" t="inlineStr">
        <is>
          <t>已签约（专项）</t>
        </is>
      </c>
      <c r="J6" s="20" t="inlineStr">
        <is>
          <t>P03扩张决策</t>
        </is>
      </c>
      <c r="K6" s="22" t="n">
        <v>46315</v>
      </c>
      <c r="L6" s="23">
        <f>IF(OR(K6="",D6&lt;&gt;"会员线"),"",K6+29)</f>
        <v/>
      </c>
      <c r="M6" s="24" t="n"/>
      <c r="N6" s="25" t="n">
        <v>6400</v>
      </c>
      <c r="O6" s="22" t="n">
        <v>46313</v>
      </c>
      <c r="P6" s="21" t="n"/>
      <c r="Q6" s="22" t="n">
        <v>46322</v>
      </c>
      <c r="R6" s="20" t="inlineStr">
        <is>
          <t>示例行，首付款50%</t>
        </is>
      </c>
    </row>
    <row r="7">
      <c r="A7" s="21" t="n"/>
      <c r="B7" s="21" t="n"/>
      <c r="C7" s="21" t="n"/>
      <c r="D7" s="21" t="n"/>
      <c r="E7" s="21" t="n"/>
      <c r="F7" s="21" t="n"/>
      <c r="G7" s="24" t="n"/>
      <c r="H7" s="21" t="n"/>
      <c r="I7" s="21" t="n"/>
      <c r="J7" s="21" t="n"/>
      <c r="K7" s="24" t="n"/>
      <c r="L7" s="23">
        <f>IF(OR(K7="",D7&lt;&gt;"会员线"),"",K7+29)</f>
        <v/>
      </c>
      <c r="M7" s="24" t="n"/>
      <c r="N7" s="26" t="n"/>
      <c r="O7" s="24" t="n"/>
      <c r="P7" s="21" t="n"/>
      <c r="Q7" s="24" t="n"/>
      <c r="R7" s="21" t="n"/>
    </row>
    <row r="8">
      <c r="A8" s="21" t="n"/>
      <c r="B8" s="21" t="n"/>
      <c r="C8" s="21" t="n"/>
      <c r="D8" s="21" t="n"/>
      <c r="E8" s="21" t="n"/>
      <c r="F8" s="21" t="n"/>
      <c r="G8" s="24" t="n"/>
      <c r="H8" s="21" t="n"/>
      <c r="I8" s="21" t="n"/>
      <c r="J8" s="21" t="n"/>
      <c r="K8" s="24" t="n"/>
      <c r="L8" s="23">
        <f>IF(OR(K8="",D8&lt;&gt;"会员线"),"",K8+29)</f>
        <v/>
      </c>
      <c r="M8" s="24" t="n"/>
      <c r="N8" s="26" t="n"/>
      <c r="O8" s="24" t="n"/>
      <c r="P8" s="21" t="n"/>
      <c r="Q8" s="24" t="n"/>
      <c r="R8" s="21" t="n"/>
    </row>
    <row r="9">
      <c r="A9" s="21" t="n"/>
      <c r="B9" s="21" t="n"/>
      <c r="C9" s="21" t="n"/>
      <c r="D9" s="21" t="n"/>
      <c r="E9" s="21" t="n"/>
      <c r="F9" s="21" t="n"/>
      <c r="G9" s="24" t="n"/>
      <c r="H9" s="21" t="n"/>
      <c r="I9" s="21" t="n"/>
      <c r="J9" s="21" t="n"/>
      <c r="K9" s="24" t="n"/>
      <c r="L9" s="23">
        <f>IF(OR(K9="",D9&lt;&gt;"会员线"),"",K9+29)</f>
        <v/>
      </c>
      <c r="M9" s="24" t="n"/>
      <c r="N9" s="26" t="n"/>
      <c r="O9" s="24" t="n"/>
      <c r="P9" s="21" t="n"/>
      <c r="Q9" s="24" t="n"/>
      <c r="R9" s="21" t="n"/>
    </row>
    <row r="10">
      <c r="A10" s="21" t="n"/>
      <c r="B10" s="21" t="n"/>
      <c r="C10" s="21" t="n"/>
      <c r="D10" s="21" t="n"/>
      <c r="E10" s="21" t="n"/>
      <c r="F10" s="21" t="n"/>
      <c r="G10" s="24" t="n"/>
      <c r="H10" s="21" t="n"/>
      <c r="I10" s="21" t="n"/>
      <c r="J10" s="21" t="n"/>
      <c r="K10" s="24" t="n"/>
      <c r="L10" s="23">
        <f>IF(OR(K10="",D10&lt;&gt;"会员线"),"",K10+29)</f>
        <v/>
      </c>
      <c r="M10" s="24" t="n"/>
      <c r="N10" s="26" t="n"/>
      <c r="O10" s="24" t="n"/>
      <c r="P10" s="21" t="n"/>
      <c r="Q10" s="24" t="n"/>
      <c r="R10" s="21" t="n"/>
    </row>
    <row r="11">
      <c r="A11" s="21" t="n"/>
      <c r="B11" s="21" t="n"/>
      <c r="C11" s="21" t="n"/>
      <c r="D11" s="21" t="n"/>
      <c r="E11" s="21" t="n"/>
      <c r="F11" s="21" t="n"/>
      <c r="G11" s="24" t="n"/>
      <c r="H11" s="21" t="n"/>
      <c r="I11" s="21" t="n"/>
      <c r="J11" s="21" t="n"/>
      <c r="K11" s="24" t="n"/>
      <c r="L11" s="23">
        <f>IF(OR(K11="",D11&lt;&gt;"会员线"),"",K11+29)</f>
        <v/>
      </c>
      <c r="M11" s="24" t="n"/>
      <c r="N11" s="26" t="n"/>
      <c r="O11" s="24" t="n"/>
      <c r="P11" s="21" t="n"/>
      <c r="Q11" s="24" t="n"/>
      <c r="R11" s="21" t="n"/>
    </row>
    <row r="12">
      <c r="A12" s="21" t="n"/>
      <c r="B12" s="21" t="n"/>
      <c r="C12" s="21" t="n"/>
      <c r="D12" s="21" t="n"/>
      <c r="E12" s="21" t="n"/>
      <c r="F12" s="21" t="n"/>
      <c r="G12" s="24" t="n"/>
      <c r="H12" s="21" t="n"/>
      <c r="I12" s="21" t="n"/>
      <c r="J12" s="21" t="n"/>
      <c r="K12" s="24" t="n"/>
      <c r="L12" s="23">
        <f>IF(OR(K12="",D12&lt;&gt;"会员线"),"",K12+29)</f>
        <v/>
      </c>
      <c r="M12" s="24" t="n"/>
      <c r="N12" s="26" t="n"/>
      <c r="O12" s="24" t="n"/>
      <c r="P12" s="21" t="n"/>
      <c r="Q12" s="24" t="n"/>
      <c r="R12" s="21" t="n"/>
    </row>
    <row r="13">
      <c r="A13" s="21" t="n"/>
      <c r="B13" s="21" t="n"/>
      <c r="C13" s="21" t="n"/>
      <c r="D13" s="21" t="n"/>
      <c r="E13" s="21" t="n"/>
      <c r="F13" s="21" t="n"/>
      <c r="G13" s="24" t="n"/>
      <c r="H13" s="21" t="n"/>
      <c r="I13" s="21" t="n"/>
      <c r="J13" s="21" t="n"/>
      <c r="K13" s="24" t="n"/>
      <c r="L13" s="23">
        <f>IF(OR(K13="",D13&lt;&gt;"会员线"),"",K13+29)</f>
        <v/>
      </c>
      <c r="M13" s="24" t="n"/>
      <c r="N13" s="26" t="n"/>
      <c r="O13" s="24" t="n"/>
      <c r="P13" s="21" t="n"/>
      <c r="Q13" s="24" t="n"/>
      <c r="R13" s="21" t="n"/>
    </row>
    <row r="14">
      <c r="A14" s="21" t="n"/>
      <c r="B14" s="21" t="n"/>
      <c r="C14" s="21" t="n"/>
      <c r="D14" s="21" t="n"/>
      <c r="E14" s="21" t="n"/>
      <c r="F14" s="21" t="n"/>
      <c r="G14" s="24" t="n"/>
      <c r="H14" s="21" t="n"/>
      <c r="I14" s="21" t="n"/>
      <c r="J14" s="21" t="n"/>
      <c r="K14" s="24" t="n"/>
      <c r="L14" s="23">
        <f>IF(OR(K14="",D14&lt;&gt;"会员线"),"",K14+29)</f>
        <v/>
      </c>
      <c r="M14" s="24" t="n"/>
      <c r="N14" s="26" t="n"/>
      <c r="O14" s="24" t="n"/>
      <c r="P14" s="21" t="n"/>
      <c r="Q14" s="24" t="n"/>
      <c r="R14" s="21" t="n"/>
    </row>
    <row r="15">
      <c r="A15" s="21" t="n"/>
      <c r="B15" s="21" t="n"/>
      <c r="C15" s="21" t="n"/>
      <c r="D15" s="21" t="n"/>
      <c r="E15" s="21" t="n"/>
      <c r="F15" s="21" t="n"/>
      <c r="G15" s="24" t="n"/>
      <c r="H15" s="21" t="n"/>
      <c r="I15" s="21" t="n"/>
      <c r="J15" s="21" t="n"/>
      <c r="K15" s="24" t="n"/>
      <c r="L15" s="23">
        <f>IF(OR(K15="",D15&lt;&gt;"会员线"),"",K15+29)</f>
        <v/>
      </c>
      <c r="M15" s="24" t="n"/>
      <c r="N15" s="26" t="n"/>
      <c r="O15" s="24" t="n"/>
      <c r="P15" s="21" t="n"/>
      <c r="Q15" s="24" t="n"/>
      <c r="R15" s="21" t="n"/>
    </row>
    <row r="16">
      <c r="A16" s="21" t="n"/>
      <c r="B16" s="21" t="n"/>
      <c r="C16" s="21" t="n"/>
      <c r="D16" s="21" t="n"/>
      <c r="E16" s="21" t="n"/>
      <c r="F16" s="21" t="n"/>
      <c r="G16" s="24" t="n"/>
      <c r="H16" s="21" t="n"/>
      <c r="I16" s="21" t="n"/>
      <c r="J16" s="21" t="n"/>
      <c r="K16" s="24" t="n"/>
      <c r="L16" s="23">
        <f>IF(OR(K16="",D16&lt;&gt;"会员线"),"",K16+29)</f>
        <v/>
      </c>
      <c r="M16" s="24" t="n"/>
      <c r="N16" s="26" t="n"/>
      <c r="O16" s="24" t="n"/>
      <c r="P16" s="21" t="n"/>
      <c r="Q16" s="24" t="n"/>
      <c r="R16" s="21" t="n"/>
    </row>
    <row r="17">
      <c r="A17" s="21" t="n"/>
      <c r="B17" s="21" t="n"/>
      <c r="C17" s="21" t="n"/>
      <c r="D17" s="21" t="n"/>
      <c r="E17" s="21" t="n"/>
      <c r="F17" s="21" t="n"/>
      <c r="G17" s="24" t="n"/>
      <c r="H17" s="21" t="n"/>
      <c r="I17" s="21" t="n"/>
      <c r="J17" s="21" t="n"/>
      <c r="K17" s="24" t="n"/>
      <c r="L17" s="23">
        <f>IF(OR(K17="",D17&lt;&gt;"会员线"),"",K17+29)</f>
        <v/>
      </c>
      <c r="M17" s="24" t="n"/>
      <c r="N17" s="26" t="n"/>
      <c r="O17" s="24" t="n"/>
      <c r="P17" s="21" t="n"/>
      <c r="Q17" s="24" t="n"/>
      <c r="R17" s="21" t="n"/>
    </row>
    <row r="18">
      <c r="A18" s="21" t="n"/>
      <c r="B18" s="21" t="n"/>
      <c r="C18" s="21" t="n"/>
      <c r="D18" s="21" t="n"/>
      <c r="E18" s="21" t="n"/>
      <c r="F18" s="21" t="n"/>
      <c r="G18" s="24" t="n"/>
      <c r="H18" s="21" t="n"/>
      <c r="I18" s="21" t="n"/>
      <c r="J18" s="21" t="n"/>
      <c r="K18" s="24" t="n"/>
      <c r="L18" s="23">
        <f>IF(OR(K18="",D18&lt;&gt;"会员线"),"",K18+29)</f>
        <v/>
      </c>
      <c r="M18" s="24" t="n"/>
      <c r="N18" s="26" t="n"/>
      <c r="O18" s="24" t="n"/>
      <c r="P18" s="21" t="n"/>
      <c r="Q18" s="24" t="n"/>
      <c r="R18" s="21" t="n"/>
    </row>
    <row r="19">
      <c r="A19" s="21" t="n"/>
      <c r="B19" s="21" t="n"/>
      <c r="C19" s="21" t="n"/>
      <c r="D19" s="21" t="n"/>
      <c r="E19" s="21" t="n"/>
      <c r="F19" s="21" t="n"/>
      <c r="G19" s="24" t="n"/>
      <c r="H19" s="21" t="n"/>
      <c r="I19" s="21" t="n"/>
      <c r="J19" s="21" t="n"/>
      <c r="K19" s="24" t="n"/>
      <c r="L19" s="23">
        <f>IF(OR(K19="",D19&lt;&gt;"会员线"),"",K19+29)</f>
        <v/>
      </c>
      <c r="M19" s="24" t="n"/>
      <c r="N19" s="26" t="n"/>
      <c r="O19" s="24" t="n"/>
      <c r="P19" s="21" t="n"/>
      <c r="Q19" s="24" t="n"/>
      <c r="R19" s="21" t="n"/>
    </row>
    <row r="20">
      <c r="A20" s="21" t="n"/>
      <c r="B20" s="21" t="n"/>
      <c r="C20" s="21" t="n"/>
      <c r="D20" s="21" t="n"/>
      <c r="E20" s="21" t="n"/>
      <c r="F20" s="21" t="n"/>
      <c r="G20" s="24" t="n"/>
      <c r="H20" s="21" t="n"/>
      <c r="I20" s="21" t="n"/>
      <c r="J20" s="21" t="n"/>
      <c r="K20" s="24" t="n"/>
      <c r="L20" s="23">
        <f>IF(OR(K20="",D20&lt;&gt;"会员线"),"",K20+29)</f>
        <v/>
      </c>
      <c r="M20" s="24" t="n"/>
      <c r="N20" s="26" t="n"/>
      <c r="O20" s="24" t="n"/>
      <c r="P20" s="21" t="n"/>
      <c r="Q20" s="24" t="n"/>
      <c r="R20" s="21" t="n"/>
    </row>
    <row r="21">
      <c r="A21" s="21" t="n"/>
      <c r="B21" s="21" t="n"/>
      <c r="C21" s="21" t="n"/>
      <c r="D21" s="21" t="n"/>
      <c r="E21" s="21" t="n"/>
      <c r="F21" s="21" t="n"/>
      <c r="G21" s="24" t="n"/>
      <c r="H21" s="21" t="n"/>
      <c r="I21" s="21" t="n"/>
      <c r="J21" s="21" t="n"/>
      <c r="K21" s="24" t="n"/>
      <c r="L21" s="23">
        <f>IF(OR(K21="",D21&lt;&gt;"会员线"),"",K21+29)</f>
        <v/>
      </c>
      <c r="M21" s="24" t="n"/>
      <c r="N21" s="26" t="n"/>
      <c r="O21" s="24" t="n"/>
      <c r="P21" s="21" t="n"/>
      <c r="Q21" s="24" t="n"/>
      <c r="R21" s="21" t="n"/>
    </row>
    <row r="22">
      <c r="A22" s="21" t="n"/>
      <c r="B22" s="21" t="n"/>
      <c r="C22" s="21" t="n"/>
      <c r="D22" s="21" t="n"/>
      <c r="E22" s="21" t="n"/>
      <c r="F22" s="21" t="n"/>
      <c r="G22" s="24" t="n"/>
      <c r="H22" s="21" t="n"/>
      <c r="I22" s="21" t="n"/>
      <c r="J22" s="21" t="n"/>
      <c r="K22" s="24" t="n"/>
      <c r="L22" s="23">
        <f>IF(OR(K22="",D22&lt;&gt;"会员线"),"",K22+29)</f>
        <v/>
      </c>
      <c r="M22" s="24" t="n"/>
      <c r="N22" s="26" t="n"/>
      <c r="O22" s="24" t="n"/>
      <c r="P22" s="21" t="n"/>
      <c r="Q22" s="24" t="n"/>
      <c r="R22" s="21" t="n"/>
    </row>
    <row r="23">
      <c r="A23" s="21" t="n"/>
      <c r="B23" s="21" t="n"/>
      <c r="C23" s="21" t="n"/>
      <c r="D23" s="21" t="n"/>
      <c r="E23" s="21" t="n"/>
      <c r="F23" s="21" t="n"/>
      <c r="G23" s="24" t="n"/>
      <c r="H23" s="21" t="n"/>
      <c r="I23" s="21" t="n"/>
      <c r="J23" s="21" t="n"/>
      <c r="K23" s="24" t="n"/>
      <c r="L23" s="23">
        <f>IF(OR(K23="",D23&lt;&gt;"会员线"),"",K23+29)</f>
        <v/>
      </c>
      <c r="M23" s="24" t="n"/>
      <c r="N23" s="26" t="n"/>
      <c r="O23" s="24" t="n"/>
      <c r="P23" s="21" t="n"/>
      <c r="Q23" s="24" t="n"/>
      <c r="R23" s="21" t="n"/>
    </row>
    <row r="24">
      <c r="A24" s="21" t="n"/>
      <c r="B24" s="21" t="n"/>
      <c r="C24" s="21" t="n"/>
      <c r="D24" s="21" t="n"/>
      <c r="E24" s="21" t="n"/>
      <c r="F24" s="21" t="n"/>
      <c r="G24" s="24" t="n"/>
      <c r="H24" s="21" t="n"/>
      <c r="I24" s="21" t="n"/>
      <c r="J24" s="21" t="n"/>
      <c r="K24" s="24" t="n"/>
      <c r="L24" s="23">
        <f>IF(OR(K24="",D24&lt;&gt;"会员线"),"",K24+29)</f>
        <v/>
      </c>
      <c r="M24" s="24" t="n"/>
      <c r="N24" s="26" t="n"/>
      <c r="O24" s="24" t="n"/>
      <c r="P24" s="21" t="n"/>
      <c r="Q24" s="24" t="n"/>
      <c r="R24" s="21" t="n"/>
    </row>
    <row r="25">
      <c r="A25" s="21" t="n"/>
      <c r="B25" s="21" t="n"/>
      <c r="C25" s="21" t="n"/>
      <c r="D25" s="21" t="n"/>
      <c r="E25" s="21" t="n"/>
      <c r="F25" s="21" t="n"/>
      <c r="G25" s="24" t="n"/>
      <c r="H25" s="21" t="n"/>
      <c r="I25" s="21" t="n"/>
      <c r="J25" s="21" t="n"/>
      <c r="K25" s="24" t="n"/>
      <c r="L25" s="23">
        <f>IF(OR(K25="",D25&lt;&gt;"会员线"),"",K25+29)</f>
        <v/>
      </c>
      <c r="M25" s="24" t="n"/>
      <c r="N25" s="26" t="n"/>
      <c r="O25" s="24" t="n"/>
      <c r="P25" s="21" t="n"/>
      <c r="Q25" s="24" t="n"/>
      <c r="R25" s="21" t="n"/>
    </row>
    <row r="26">
      <c r="A26" s="21" t="n"/>
      <c r="B26" s="21" t="n"/>
      <c r="C26" s="21" t="n"/>
      <c r="D26" s="21" t="n"/>
      <c r="E26" s="21" t="n"/>
      <c r="F26" s="21" t="n"/>
      <c r="G26" s="24" t="n"/>
      <c r="H26" s="21" t="n"/>
      <c r="I26" s="21" t="n"/>
      <c r="J26" s="21" t="n"/>
      <c r="K26" s="24" t="n"/>
      <c r="L26" s="23">
        <f>IF(OR(K26="",D26&lt;&gt;"会员线"),"",K26+29)</f>
        <v/>
      </c>
      <c r="M26" s="24" t="n"/>
      <c r="N26" s="26" t="n"/>
      <c r="O26" s="24" t="n"/>
      <c r="P26" s="21" t="n"/>
      <c r="Q26" s="24" t="n"/>
      <c r="R26" s="21" t="n"/>
    </row>
    <row r="27">
      <c r="A27" s="21" t="n"/>
      <c r="B27" s="21" t="n"/>
      <c r="C27" s="21" t="n"/>
      <c r="D27" s="21" t="n"/>
      <c r="E27" s="21" t="n"/>
      <c r="F27" s="21" t="n"/>
      <c r="G27" s="24" t="n"/>
      <c r="H27" s="21" t="n"/>
      <c r="I27" s="21" t="n"/>
      <c r="J27" s="21" t="n"/>
      <c r="K27" s="24" t="n"/>
      <c r="L27" s="23">
        <f>IF(OR(K27="",D27&lt;&gt;"会员线"),"",K27+29)</f>
        <v/>
      </c>
      <c r="M27" s="24" t="n"/>
      <c r="N27" s="26" t="n"/>
      <c r="O27" s="24" t="n"/>
      <c r="P27" s="21" t="n"/>
      <c r="Q27" s="24" t="n"/>
      <c r="R27" s="21" t="n"/>
    </row>
    <row r="28">
      <c r="A28" s="21" t="n"/>
      <c r="B28" s="21" t="n"/>
      <c r="C28" s="21" t="n"/>
      <c r="D28" s="21" t="n"/>
      <c r="E28" s="21" t="n"/>
      <c r="F28" s="21" t="n"/>
      <c r="G28" s="24" t="n"/>
      <c r="H28" s="21" t="n"/>
      <c r="I28" s="21" t="n"/>
      <c r="J28" s="21" t="n"/>
      <c r="K28" s="24" t="n"/>
      <c r="L28" s="23">
        <f>IF(OR(K28="",D28&lt;&gt;"会员线"),"",K28+29)</f>
        <v/>
      </c>
      <c r="M28" s="24" t="n"/>
      <c r="N28" s="26" t="n"/>
      <c r="O28" s="24" t="n"/>
      <c r="P28" s="21" t="n"/>
      <c r="Q28" s="24" t="n"/>
      <c r="R28" s="21" t="n"/>
    </row>
    <row r="29">
      <c r="A29" s="21" t="n"/>
      <c r="B29" s="21" t="n"/>
      <c r="C29" s="21" t="n"/>
      <c r="D29" s="21" t="n"/>
      <c r="E29" s="21" t="n"/>
      <c r="F29" s="21" t="n"/>
      <c r="G29" s="24" t="n"/>
      <c r="H29" s="21" t="n"/>
      <c r="I29" s="21" t="n"/>
      <c r="J29" s="21" t="n"/>
      <c r="K29" s="24" t="n"/>
      <c r="L29" s="23">
        <f>IF(OR(K29="",D29&lt;&gt;"会员线"),"",K29+29)</f>
        <v/>
      </c>
      <c r="M29" s="24" t="n"/>
      <c r="N29" s="26" t="n"/>
      <c r="O29" s="24" t="n"/>
      <c r="P29" s="21" t="n"/>
      <c r="Q29" s="24" t="n"/>
      <c r="R29" s="21" t="n"/>
    </row>
    <row r="30">
      <c r="A30" s="21" t="n"/>
      <c r="B30" s="21" t="n"/>
      <c r="C30" s="21" t="n"/>
      <c r="D30" s="21" t="n"/>
      <c r="E30" s="21" t="n"/>
      <c r="F30" s="21" t="n"/>
      <c r="G30" s="24" t="n"/>
      <c r="H30" s="21" t="n"/>
      <c r="I30" s="21" t="n"/>
      <c r="J30" s="21" t="n"/>
      <c r="K30" s="24" t="n"/>
      <c r="L30" s="23">
        <f>IF(OR(K30="",D30&lt;&gt;"会员线"),"",K30+29)</f>
        <v/>
      </c>
      <c r="M30" s="24" t="n"/>
      <c r="N30" s="26" t="n"/>
      <c r="O30" s="24" t="n"/>
      <c r="P30" s="21" t="n"/>
      <c r="Q30" s="24" t="n"/>
      <c r="R30" s="21" t="n"/>
    </row>
    <row r="31">
      <c r="A31" s="21" t="n"/>
      <c r="B31" s="21" t="n"/>
      <c r="C31" s="21" t="n"/>
      <c r="D31" s="21" t="n"/>
      <c r="E31" s="21" t="n"/>
      <c r="F31" s="21" t="n"/>
      <c r="G31" s="24" t="n"/>
      <c r="H31" s="21" t="n"/>
      <c r="I31" s="21" t="n"/>
      <c r="J31" s="21" t="n"/>
      <c r="K31" s="24" t="n"/>
      <c r="L31" s="23">
        <f>IF(OR(K31="",D31&lt;&gt;"会员线"),"",K31+29)</f>
        <v/>
      </c>
      <c r="M31" s="24" t="n"/>
      <c r="N31" s="26" t="n"/>
      <c r="O31" s="24" t="n"/>
      <c r="P31" s="21" t="n"/>
      <c r="Q31" s="24" t="n"/>
      <c r="R31" s="21" t="n"/>
    </row>
    <row r="32">
      <c r="A32" s="21" t="n"/>
      <c r="B32" s="21" t="n"/>
      <c r="C32" s="21" t="n"/>
      <c r="D32" s="21" t="n"/>
      <c r="E32" s="21" t="n"/>
      <c r="F32" s="21" t="n"/>
      <c r="G32" s="24" t="n"/>
      <c r="H32" s="21" t="n"/>
      <c r="I32" s="21" t="n"/>
      <c r="J32" s="21" t="n"/>
      <c r="K32" s="24" t="n"/>
      <c r="L32" s="23">
        <f>IF(OR(K32="",D32&lt;&gt;"会员线"),"",K32+29)</f>
        <v/>
      </c>
      <c r="M32" s="24" t="n"/>
      <c r="N32" s="26" t="n"/>
      <c r="O32" s="24" t="n"/>
      <c r="P32" s="21" t="n"/>
      <c r="Q32" s="24" t="n"/>
      <c r="R32" s="21" t="n"/>
    </row>
    <row r="33">
      <c r="A33" s="21" t="n"/>
      <c r="B33" s="21" t="n"/>
      <c r="C33" s="21" t="n"/>
      <c r="D33" s="21" t="n"/>
      <c r="E33" s="21" t="n"/>
      <c r="F33" s="21" t="n"/>
      <c r="G33" s="24" t="n"/>
      <c r="H33" s="21" t="n"/>
      <c r="I33" s="21" t="n"/>
      <c r="J33" s="21" t="n"/>
      <c r="K33" s="24" t="n"/>
      <c r="L33" s="23">
        <f>IF(OR(K33="",D33&lt;&gt;"会员线"),"",K33+29)</f>
        <v/>
      </c>
      <c r="M33" s="24" t="n"/>
      <c r="N33" s="26" t="n"/>
      <c r="O33" s="24" t="n"/>
      <c r="P33" s="21" t="n"/>
      <c r="Q33" s="24" t="n"/>
      <c r="R33" s="21" t="n"/>
    </row>
    <row r="34">
      <c r="A34" s="21" t="n"/>
      <c r="B34" s="21" t="n"/>
      <c r="C34" s="21" t="n"/>
      <c r="D34" s="21" t="n"/>
      <c r="E34" s="21" t="n"/>
      <c r="F34" s="21" t="n"/>
      <c r="G34" s="24" t="n"/>
      <c r="H34" s="21" t="n"/>
      <c r="I34" s="21" t="n"/>
      <c r="J34" s="21" t="n"/>
      <c r="K34" s="24" t="n"/>
      <c r="L34" s="23">
        <f>IF(OR(K34="",D34&lt;&gt;"会员线"),"",K34+29)</f>
        <v/>
      </c>
      <c r="M34" s="24" t="n"/>
      <c r="N34" s="26" t="n"/>
      <c r="O34" s="24" t="n"/>
      <c r="P34" s="21" t="n"/>
      <c r="Q34" s="24" t="n"/>
      <c r="R34" s="21" t="n"/>
    </row>
    <row r="35">
      <c r="A35" s="21" t="n"/>
      <c r="B35" s="21" t="n"/>
      <c r="C35" s="21" t="n"/>
      <c r="D35" s="21" t="n"/>
      <c r="E35" s="21" t="n"/>
      <c r="F35" s="21" t="n"/>
      <c r="G35" s="24" t="n"/>
      <c r="H35" s="21" t="n"/>
      <c r="I35" s="21" t="n"/>
      <c r="J35" s="21" t="n"/>
      <c r="K35" s="24" t="n"/>
      <c r="L35" s="23">
        <f>IF(OR(K35="",D35&lt;&gt;"会员线"),"",K35+29)</f>
        <v/>
      </c>
      <c r="M35" s="24" t="n"/>
      <c r="N35" s="26" t="n"/>
      <c r="O35" s="24" t="n"/>
      <c r="P35" s="21" t="n"/>
      <c r="Q35" s="24" t="n"/>
      <c r="R35" s="21" t="n"/>
    </row>
    <row r="36">
      <c r="A36" s="21" t="n"/>
      <c r="B36" s="21" t="n"/>
      <c r="C36" s="21" t="n"/>
      <c r="D36" s="21" t="n"/>
      <c r="E36" s="21" t="n"/>
      <c r="F36" s="21" t="n"/>
      <c r="G36" s="24" t="n"/>
      <c r="H36" s="21" t="n"/>
      <c r="I36" s="21" t="n"/>
      <c r="J36" s="21" t="n"/>
      <c r="K36" s="24" t="n"/>
      <c r="L36" s="23">
        <f>IF(OR(K36="",D36&lt;&gt;"会员线"),"",K36+29)</f>
        <v/>
      </c>
      <c r="M36" s="24" t="n"/>
      <c r="N36" s="26" t="n"/>
      <c r="O36" s="24" t="n"/>
      <c r="P36" s="21" t="n"/>
      <c r="Q36" s="24" t="n"/>
      <c r="R36" s="21" t="n"/>
    </row>
    <row r="37">
      <c r="A37" s="21" t="n"/>
      <c r="B37" s="21" t="n"/>
      <c r="C37" s="21" t="n"/>
      <c r="D37" s="21" t="n"/>
      <c r="E37" s="21" t="n"/>
      <c r="F37" s="21" t="n"/>
      <c r="G37" s="24" t="n"/>
      <c r="H37" s="21" t="n"/>
      <c r="I37" s="21" t="n"/>
      <c r="J37" s="21" t="n"/>
      <c r="K37" s="24" t="n"/>
      <c r="L37" s="23">
        <f>IF(OR(K37="",D37&lt;&gt;"会员线"),"",K37+29)</f>
        <v/>
      </c>
      <c r="M37" s="24" t="n"/>
      <c r="N37" s="26" t="n"/>
      <c r="O37" s="24" t="n"/>
      <c r="P37" s="21" t="n"/>
      <c r="Q37" s="24" t="n"/>
      <c r="R37" s="21" t="n"/>
    </row>
    <row r="38">
      <c r="A38" s="21" t="n"/>
      <c r="B38" s="21" t="n"/>
      <c r="C38" s="21" t="n"/>
      <c r="D38" s="21" t="n"/>
      <c r="E38" s="21" t="n"/>
      <c r="F38" s="21" t="n"/>
      <c r="G38" s="24" t="n"/>
      <c r="H38" s="21" t="n"/>
      <c r="I38" s="21" t="n"/>
      <c r="J38" s="21" t="n"/>
      <c r="K38" s="24" t="n"/>
      <c r="L38" s="23">
        <f>IF(OR(K38="",D38&lt;&gt;"会员线"),"",K38+29)</f>
        <v/>
      </c>
      <c r="M38" s="24" t="n"/>
      <c r="N38" s="26" t="n"/>
      <c r="O38" s="24" t="n"/>
      <c r="P38" s="21" t="n"/>
      <c r="Q38" s="24" t="n"/>
      <c r="R38" s="21" t="n"/>
    </row>
    <row r="39">
      <c r="A39" s="21" t="n"/>
      <c r="B39" s="21" t="n"/>
      <c r="C39" s="21" t="n"/>
      <c r="D39" s="21" t="n"/>
      <c r="E39" s="21" t="n"/>
      <c r="F39" s="21" t="n"/>
      <c r="G39" s="24" t="n"/>
      <c r="H39" s="21" t="n"/>
      <c r="I39" s="21" t="n"/>
      <c r="J39" s="21" t="n"/>
      <c r="K39" s="24" t="n"/>
      <c r="L39" s="23">
        <f>IF(OR(K39="",D39&lt;&gt;"会员线"),"",K39+29)</f>
        <v/>
      </c>
      <c r="M39" s="24" t="n"/>
      <c r="N39" s="26" t="n"/>
      <c r="O39" s="24" t="n"/>
      <c r="P39" s="21" t="n"/>
      <c r="Q39" s="24" t="n"/>
      <c r="R39" s="21" t="n"/>
    </row>
    <row r="40">
      <c r="A40" s="21" t="n"/>
      <c r="B40" s="21" t="n"/>
      <c r="C40" s="21" t="n"/>
      <c r="D40" s="21" t="n"/>
      <c r="E40" s="21" t="n"/>
      <c r="F40" s="21" t="n"/>
      <c r="G40" s="24" t="n"/>
      <c r="H40" s="21" t="n"/>
      <c r="I40" s="21" t="n"/>
      <c r="J40" s="21" t="n"/>
      <c r="K40" s="24" t="n"/>
      <c r="L40" s="23">
        <f>IF(OR(K40="",D40&lt;&gt;"会员线"),"",K40+29)</f>
        <v/>
      </c>
      <c r="M40" s="24" t="n"/>
      <c r="N40" s="26" t="n"/>
      <c r="O40" s="24" t="n"/>
      <c r="P40" s="21" t="n"/>
      <c r="Q40" s="24" t="n"/>
      <c r="R40" s="21" t="n"/>
    </row>
    <row r="41">
      <c r="A41" s="21" t="n"/>
      <c r="B41" s="21" t="n"/>
      <c r="C41" s="21" t="n"/>
      <c r="D41" s="21" t="n"/>
      <c r="E41" s="21" t="n"/>
      <c r="F41" s="21" t="n"/>
      <c r="G41" s="24" t="n"/>
      <c r="H41" s="21" t="n"/>
      <c r="I41" s="21" t="n"/>
      <c r="J41" s="21" t="n"/>
      <c r="K41" s="24" t="n"/>
      <c r="L41" s="23">
        <f>IF(OR(K41="",D41&lt;&gt;"会员线"),"",K41+29)</f>
        <v/>
      </c>
      <c r="M41" s="24" t="n"/>
      <c r="N41" s="26" t="n"/>
      <c r="O41" s="24" t="n"/>
      <c r="P41" s="21" t="n"/>
      <c r="Q41" s="24" t="n"/>
      <c r="R41" s="21" t="n"/>
    </row>
    <row r="42">
      <c r="A42" s="21" t="n"/>
      <c r="B42" s="21" t="n"/>
      <c r="C42" s="21" t="n"/>
      <c r="D42" s="21" t="n"/>
      <c r="E42" s="21" t="n"/>
      <c r="F42" s="21" t="n"/>
      <c r="G42" s="24" t="n"/>
      <c r="H42" s="21" t="n"/>
      <c r="I42" s="21" t="n"/>
      <c r="J42" s="21" t="n"/>
      <c r="K42" s="24" t="n"/>
      <c r="L42" s="23">
        <f>IF(OR(K42="",D42&lt;&gt;"会员线"),"",K42+29)</f>
        <v/>
      </c>
      <c r="M42" s="24" t="n"/>
      <c r="N42" s="26" t="n"/>
      <c r="O42" s="24" t="n"/>
      <c r="P42" s="21" t="n"/>
      <c r="Q42" s="24" t="n"/>
      <c r="R42" s="21" t="n"/>
    </row>
    <row r="43">
      <c r="A43" s="21" t="n"/>
      <c r="B43" s="21" t="n"/>
      <c r="C43" s="21" t="n"/>
      <c r="D43" s="21" t="n"/>
      <c r="E43" s="21" t="n"/>
      <c r="F43" s="21" t="n"/>
      <c r="G43" s="24" t="n"/>
      <c r="H43" s="21" t="n"/>
      <c r="I43" s="21" t="n"/>
      <c r="J43" s="21" t="n"/>
      <c r="K43" s="24" t="n"/>
      <c r="L43" s="23">
        <f>IF(OR(K43="",D43&lt;&gt;"会员线"),"",K43+29)</f>
        <v/>
      </c>
      <c r="M43" s="24" t="n"/>
      <c r="N43" s="26" t="n"/>
      <c r="O43" s="24" t="n"/>
      <c r="P43" s="21" t="n"/>
      <c r="Q43" s="24" t="n"/>
      <c r="R43" s="21" t="n"/>
    </row>
    <row r="44">
      <c r="A44" s="21" t="n"/>
      <c r="B44" s="21" t="n"/>
      <c r="C44" s="21" t="n"/>
      <c r="D44" s="21" t="n"/>
      <c r="E44" s="21" t="n"/>
      <c r="F44" s="21" t="n"/>
      <c r="G44" s="24" t="n"/>
      <c r="H44" s="21" t="n"/>
      <c r="I44" s="21" t="n"/>
      <c r="J44" s="21" t="n"/>
      <c r="K44" s="24" t="n"/>
      <c r="L44" s="23">
        <f>IF(OR(K44="",D44&lt;&gt;"会员线"),"",K44+29)</f>
        <v/>
      </c>
      <c r="M44" s="24" t="n"/>
      <c r="N44" s="26" t="n"/>
      <c r="O44" s="24" t="n"/>
      <c r="P44" s="21" t="n"/>
      <c r="Q44" s="24" t="n"/>
      <c r="R44" s="21" t="n"/>
    </row>
    <row r="45">
      <c r="A45" s="21" t="n"/>
      <c r="B45" s="21" t="n"/>
      <c r="C45" s="21" t="n"/>
      <c r="D45" s="21" t="n"/>
      <c r="E45" s="21" t="n"/>
      <c r="F45" s="21" t="n"/>
      <c r="G45" s="24" t="n"/>
      <c r="H45" s="21" t="n"/>
      <c r="I45" s="21" t="n"/>
      <c r="J45" s="21" t="n"/>
      <c r="K45" s="24" t="n"/>
      <c r="L45" s="23">
        <f>IF(OR(K45="",D45&lt;&gt;"会员线"),"",K45+29)</f>
        <v/>
      </c>
      <c r="M45" s="24" t="n"/>
      <c r="N45" s="26" t="n"/>
      <c r="O45" s="24" t="n"/>
      <c r="P45" s="21" t="n"/>
      <c r="Q45" s="24" t="n"/>
      <c r="R45" s="21" t="n"/>
    </row>
    <row r="46">
      <c r="A46" s="21" t="n"/>
      <c r="B46" s="21" t="n"/>
      <c r="C46" s="21" t="n"/>
      <c r="D46" s="21" t="n"/>
      <c r="E46" s="21" t="n"/>
      <c r="F46" s="21" t="n"/>
      <c r="G46" s="24" t="n"/>
      <c r="H46" s="21" t="n"/>
      <c r="I46" s="21" t="n"/>
      <c r="J46" s="21" t="n"/>
      <c r="K46" s="24" t="n"/>
      <c r="L46" s="23">
        <f>IF(OR(K46="",D46&lt;&gt;"会员线"),"",K46+29)</f>
        <v/>
      </c>
      <c r="M46" s="24" t="n"/>
      <c r="N46" s="26" t="n"/>
      <c r="O46" s="24" t="n"/>
      <c r="P46" s="21" t="n"/>
      <c r="Q46" s="24" t="n"/>
      <c r="R46" s="21" t="n"/>
    </row>
    <row r="47">
      <c r="A47" s="21" t="n"/>
      <c r="B47" s="21" t="n"/>
      <c r="C47" s="21" t="n"/>
      <c r="D47" s="21" t="n"/>
      <c r="E47" s="21" t="n"/>
      <c r="F47" s="21" t="n"/>
      <c r="G47" s="24" t="n"/>
      <c r="H47" s="21" t="n"/>
      <c r="I47" s="21" t="n"/>
      <c r="J47" s="21" t="n"/>
      <c r="K47" s="24" t="n"/>
      <c r="L47" s="23">
        <f>IF(OR(K47="",D47&lt;&gt;"会员线"),"",K47+29)</f>
        <v/>
      </c>
      <c r="M47" s="24" t="n"/>
      <c r="N47" s="26" t="n"/>
      <c r="O47" s="24" t="n"/>
      <c r="P47" s="21" t="n"/>
      <c r="Q47" s="24" t="n"/>
      <c r="R47" s="21" t="n"/>
    </row>
    <row r="48">
      <c r="A48" s="21" t="n"/>
      <c r="B48" s="21" t="n"/>
      <c r="C48" s="21" t="n"/>
      <c r="D48" s="21" t="n"/>
      <c r="E48" s="21" t="n"/>
      <c r="F48" s="21" t="n"/>
      <c r="G48" s="24" t="n"/>
      <c r="H48" s="21" t="n"/>
      <c r="I48" s="21" t="n"/>
      <c r="J48" s="21" t="n"/>
      <c r="K48" s="24" t="n"/>
      <c r="L48" s="23">
        <f>IF(OR(K48="",D48&lt;&gt;"会员线"),"",K48+29)</f>
        <v/>
      </c>
      <c r="M48" s="24" t="n"/>
      <c r="N48" s="26" t="n"/>
      <c r="O48" s="24" t="n"/>
      <c r="P48" s="21" t="n"/>
      <c r="Q48" s="24" t="n"/>
      <c r="R48" s="21" t="n"/>
    </row>
    <row r="49">
      <c r="A49" s="21" t="n"/>
      <c r="B49" s="21" t="n"/>
      <c r="C49" s="21" t="n"/>
      <c r="D49" s="21" t="n"/>
      <c r="E49" s="21" t="n"/>
      <c r="F49" s="21" t="n"/>
      <c r="G49" s="24" t="n"/>
      <c r="H49" s="21" t="n"/>
      <c r="I49" s="21" t="n"/>
      <c r="J49" s="21" t="n"/>
      <c r="K49" s="24" t="n"/>
      <c r="L49" s="23">
        <f>IF(OR(K49="",D49&lt;&gt;"会员线"),"",K49+29)</f>
        <v/>
      </c>
      <c r="M49" s="24" t="n"/>
      <c r="N49" s="26" t="n"/>
      <c r="O49" s="24" t="n"/>
      <c r="P49" s="21" t="n"/>
      <c r="Q49" s="24" t="n"/>
      <c r="R49" s="21" t="n"/>
    </row>
    <row r="50">
      <c r="A50" s="21" t="n"/>
      <c r="B50" s="21" t="n"/>
      <c r="C50" s="21" t="n"/>
      <c r="D50" s="21" t="n"/>
      <c r="E50" s="21" t="n"/>
      <c r="F50" s="21" t="n"/>
      <c r="G50" s="24" t="n"/>
      <c r="H50" s="21" t="n"/>
      <c r="I50" s="21" t="n"/>
      <c r="J50" s="21" t="n"/>
      <c r="K50" s="24" t="n"/>
      <c r="L50" s="23">
        <f>IF(OR(K50="",D50&lt;&gt;"会员线"),"",K50+29)</f>
        <v/>
      </c>
      <c r="M50" s="24" t="n"/>
      <c r="N50" s="26" t="n"/>
      <c r="O50" s="24" t="n"/>
      <c r="P50" s="21" t="n"/>
      <c r="Q50" s="24" t="n"/>
      <c r="R50" s="21" t="n"/>
    </row>
    <row r="51">
      <c r="A51" s="21" t="n"/>
      <c r="B51" s="21" t="n"/>
      <c r="C51" s="21" t="n"/>
      <c r="D51" s="21" t="n"/>
      <c r="E51" s="21" t="n"/>
      <c r="F51" s="21" t="n"/>
      <c r="G51" s="24" t="n"/>
      <c r="H51" s="21" t="n"/>
      <c r="I51" s="21" t="n"/>
      <c r="J51" s="21" t="n"/>
      <c r="K51" s="24" t="n"/>
      <c r="L51" s="23">
        <f>IF(OR(K51="",D51&lt;&gt;"会员线"),"",K51+29)</f>
        <v/>
      </c>
      <c r="M51" s="24" t="n"/>
      <c r="N51" s="26" t="n"/>
      <c r="O51" s="24" t="n"/>
      <c r="P51" s="21" t="n"/>
      <c r="Q51" s="24" t="n"/>
      <c r="R51" s="21" t="n"/>
    </row>
    <row r="52">
      <c r="A52" s="21" t="n"/>
      <c r="B52" s="21" t="n"/>
      <c r="C52" s="21" t="n"/>
      <c r="D52" s="21" t="n"/>
      <c r="E52" s="21" t="n"/>
      <c r="F52" s="21" t="n"/>
      <c r="G52" s="24" t="n"/>
      <c r="H52" s="21" t="n"/>
      <c r="I52" s="21" t="n"/>
      <c r="J52" s="21" t="n"/>
      <c r="K52" s="24" t="n"/>
      <c r="L52" s="23">
        <f>IF(OR(K52="",D52&lt;&gt;"会员线"),"",K52+29)</f>
        <v/>
      </c>
      <c r="M52" s="24" t="n"/>
      <c r="N52" s="26" t="n"/>
      <c r="O52" s="24" t="n"/>
      <c r="P52" s="21" t="n"/>
      <c r="Q52" s="24" t="n"/>
      <c r="R52" s="21" t="n"/>
    </row>
    <row r="53">
      <c r="A53" s="21" t="n"/>
      <c r="B53" s="21" t="n"/>
      <c r="C53" s="21" t="n"/>
      <c r="D53" s="21" t="n"/>
      <c r="E53" s="21" t="n"/>
      <c r="F53" s="21" t="n"/>
      <c r="G53" s="24" t="n"/>
      <c r="H53" s="21" t="n"/>
      <c r="I53" s="21" t="n"/>
      <c r="J53" s="21" t="n"/>
      <c r="K53" s="24" t="n"/>
      <c r="L53" s="23">
        <f>IF(OR(K53="",D53&lt;&gt;"会员线"),"",K53+29)</f>
        <v/>
      </c>
      <c r="M53" s="24" t="n"/>
      <c r="N53" s="26" t="n"/>
      <c r="O53" s="24" t="n"/>
      <c r="P53" s="21" t="n"/>
      <c r="Q53" s="24" t="n"/>
      <c r="R53" s="21" t="n"/>
    </row>
    <row r="54">
      <c r="A54" s="21" t="n"/>
      <c r="B54" s="21" t="n"/>
      <c r="C54" s="21" t="n"/>
      <c r="D54" s="21" t="n"/>
      <c r="E54" s="21" t="n"/>
      <c r="F54" s="21" t="n"/>
      <c r="G54" s="24" t="n"/>
      <c r="H54" s="21" t="n"/>
      <c r="I54" s="21" t="n"/>
      <c r="J54" s="21" t="n"/>
      <c r="K54" s="24" t="n"/>
      <c r="L54" s="23">
        <f>IF(OR(K54="",D54&lt;&gt;"会员线"),"",K54+29)</f>
        <v/>
      </c>
      <c r="M54" s="24" t="n"/>
      <c r="N54" s="26" t="n"/>
      <c r="O54" s="24" t="n"/>
      <c r="P54" s="21" t="n"/>
      <c r="Q54" s="24" t="n"/>
      <c r="R54" s="21" t="n"/>
    </row>
  </sheetData>
  <dataValidations count="3">
    <dataValidation sqref="D5:D54" showDropDown="0" showInputMessage="0" showErrorMessage="1" allowBlank="1" error="请从下拉列表中选择" type="list">
      <formula1>参数!$H$5:$H$7</formula1>
    </dataValidation>
    <dataValidation sqref="I5:I54" showDropDown="0" showInputMessage="0" showErrorMessage="1" allowBlank="1" error="请从下拉列表中选择" type="list">
      <formula1>参数!$I$5:$I$16</formula1>
    </dataValidation>
    <dataValidation sqref="J5:J54" showDropDown="0" showInputMessage="0" showErrorMessage="1" allowBlank="1" error="请从下拉列表中选择" type="list">
      <formula1>参数!$J$5:$J$14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9" customWidth="1" min="3" max="3"/>
    <col width="22" customWidth="1" min="4" max="4"/>
    <col width="28" customWidth="1" min="5" max="5"/>
    <col width="8" customWidth="1" min="6" max="6"/>
    <col width="8" customWidth="1" min="7" max="7"/>
    <col width="9" customWidth="1" min="8" max="8"/>
    <col width="9" customWidth="1" min="9" max="9"/>
    <col width="9" customWidth="1" min="10" max="10"/>
    <col width="9" customWidth="1" min="11" max="11"/>
    <col width="14" customWidth="1" min="12" max="12"/>
    <col width="9" customWidth="1" min="13" max="13"/>
    <col width="9" customWidth="1" min="14" max="14"/>
    <col width="20" customWidth="1" min="15" max="15"/>
  </cols>
  <sheetData>
    <row r="1">
      <c r="A1" s="1" t="inlineStr">
        <is>
          <t>顾问工时记录</t>
        </is>
      </c>
    </row>
    <row r="2">
      <c r="A2" s="2" t="inlineStr">
        <is>
          <t>每做完一件事记一行。可填开始/结束时间，或直接填“手填人工分钟”（优先）。共享任务企业编号填“共享”，非客户工作填“内部”。</t>
        </is>
      </c>
    </row>
    <row r="4" ht="32" customHeight="1">
      <c r="A4" s="8" t="inlineStr">
        <is>
          <t>日期</t>
        </is>
      </c>
      <c r="B4" s="8" t="inlineStr">
        <is>
          <t>企业编号</t>
        </is>
      </c>
      <c r="C4" s="8" t="inlineStr">
        <is>
          <t>线别</t>
        </is>
      </c>
      <c r="D4" s="8" t="inlineStr">
        <is>
          <t>工作类型</t>
        </is>
      </c>
      <c r="E4" s="8" t="inlineStr">
        <is>
          <t>内容简述</t>
        </is>
      </c>
      <c r="F4" s="8" t="inlineStr">
        <is>
          <t>开始时间</t>
        </is>
      </c>
      <c r="G4" s="8" t="inlineStr">
        <is>
          <t>结束时间</t>
        </is>
      </c>
      <c r="H4" s="8" t="inlineStr">
        <is>
          <t>手填人工分钟</t>
        </is>
      </c>
      <c r="I4" s="8" t="inlineStr">
        <is>
          <t>计入人工分钟</t>
        </is>
      </c>
      <c r="J4" s="8" t="inlineStr">
        <is>
          <t>AI运行分钟</t>
        </is>
      </c>
      <c r="K4" s="8" t="inlineStr">
        <is>
          <t>工时性质</t>
        </is>
      </c>
      <c r="L4" s="8" t="inlineStr">
        <is>
          <t>时间预算类别</t>
        </is>
      </c>
      <c r="M4" s="8" t="inlineStr">
        <is>
          <t>试运营超配？</t>
        </is>
      </c>
      <c r="N4" s="8" t="inlineStr">
        <is>
          <t>产生增值线索？</t>
        </is>
      </c>
      <c r="O4" s="8" t="inlineStr">
        <is>
          <t>备注</t>
        </is>
      </c>
    </row>
    <row r="5">
      <c r="A5" s="22" t="n">
        <v>46310</v>
      </c>
      <c r="B5" s="20" t="inlineStr">
        <is>
          <t>示例-01</t>
        </is>
      </c>
      <c r="C5" s="20" t="inlineStr">
        <is>
          <t>会员线</t>
        </is>
      </c>
      <c r="D5" s="20" t="inlineStr">
        <is>
          <t>首次访谈</t>
        </is>
      </c>
      <c r="E5" s="20" t="inlineStr">
        <is>
          <t>老板主诉与经营模型梳理</t>
        </is>
      </c>
      <c r="F5" s="27" t="n">
        <v>0.5833333333333334</v>
      </c>
      <c r="G5" s="27" t="n">
        <v>0.6458333333333334</v>
      </c>
      <c r="H5" s="26" t="n"/>
      <c r="I5" s="10">
        <f>IF(H5&lt;&gt;"",H5,IF(AND(F5&lt;&gt;"",G5&lt;&gt;""),ROUND((G5-F5)*1440,0),""))</f>
        <v/>
      </c>
      <c r="J5" s="25" t="n">
        <v>0</v>
      </c>
      <c r="K5" s="9">
        <f>IF(D5="","",IFERROR(VLOOKUP(D5,参数!$A$5:$C$24,2,0),""))</f>
        <v/>
      </c>
      <c r="L5" s="9">
        <f>IF(D5="","",IFERROR(VLOOKUP(D5,参数!$A$5:$C$24,3,0),""))</f>
        <v/>
      </c>
      <c r="M5" s="20" t="inlineStr">
        <is>
          <t>否</t>
        </is>
      </c>
      <c r="N5" s="20" t="inlineStr">
        <is>
          <t>否</t>
        </is>
      </c>
      <c r="O5" s="20" t="inlineStr">
        <is>
          <t>示例行</t>
        </is>
      </c>
    </row>
    <row r="6">
      <c r="A6" s="22" t="n">
        <v>46311</v>
      </c>
      <c r="B6" s="20" t="inlineStr">
        <is>
          <t>示例-01</t>
        </is>
      </c>
      <c r="C6" s="20" t="inlineStr">
        <is>
          <t>会员线</t>
        </is>
      </c>
      <c r="D6" s="20" t="inlineStr">
        <is>
          <t>首次体检分析与审核</t>
        </is>
      </c>
      <c r="E6" s="20" t="inlineStr">
        <is>
          <t>应收账龄与客户集中度</t>
        </is>
      </c>
      <c r="F6" s="28" t="n"/>
      <c r="G6" s="28" t="n"/>
      <c r="H6" s="25" t="n">
        <v>120</v>
      </c>
      <c r="I6" s="10">
        <f>IF(H6&lt;&gt;"",H6,IF(AND(F6&lt;&gt;"",G6&lt;&gt;""),ROUND((G6-F6)*1440,0),""))</f>
        <v/>
      </c>
      <c r="J6" s="25" t="n">
        <v>25</v>
      </c>
      <c r="K6" s="9">
        <f>IF(D6="","",IFERROR(VLOOKUP(D6,参数!$A$5:$C$24,2,0),""))</f>
        <v/>
      </c>
      <c r="L6" s="9">
        <f>IF(D6="","",IFERROR(VLOOKUP(D6,参数!$A$5:$C$24,3,0),""))</f>
        <v/>
      </c>
      <c r="M6" s="20" t="inlineStr">
        <is>
          <t>否</t>
        </is>
      </c>
      <c r="N6" s="20" t="inlineStr">
        <is>
          <t>是</t>
        </is>
      </c>
      <c r="O6" s="20" t="inlineStr">
        <is>
          <t>示例行</t>
        </is>
      </c>
    </row>
    <row r="7">
      <c r="A7" s="22" t="n">
        <v>46315</v>
      </c>
      <c r="B7" s="20" t="inlineStr">
        <is>
          <t>示例-02</t>
        </is>
      </c>
      <c r="C7" s="20" t="inlineStr">
        <is>
          <t>专项线</t>
        </is>
      </c>
      <c r="D7" s="20" t="inlineStr">
        <is>
          <t>专项交付</t>
        </is>
      </c>
      <c r="E7" s="20" t="inlineStr">
        <is>
          <t>单店模型与投资测算</t>
        </is>
      </c>
      <c r="F7" s="28" t="n"/>
      <c r="G7" s="28" t="n"/>
      <c r="H7" s="25" t="n">
        <v>240</v>
      </c>
      <c r="I7" s="10">
        <f>IF(H7&lt;&gt;"",H7,IF(AND(F7&lt;&gt;"",G7&lt;&gt;""),ROUND((G7-F7)*1440,0),""))</f>
        <v/>
      </c>
      <c r="J7" s="25" t="n">
        <v>30</v>
      </c>
      <c r="K7" s="9">
        <f>IF(D7="","",IFERROR(VLOOKUP(D7,参数!$A$5:$C$24,2,0),""))</f>
        <v/>
      </c>
      <c r="L7" s="9">
        <f>IF(D7="","",IFERROR(VLOOKUP(D7,参数!$A$5:$C$24,3,0),""))</f>
        <v/>
      </c>
      <c r="M7" s="20" t="inlineStr">
        <is>
          <t>否</t>
        </is>
      </c>
      <c r="N7" s="20" t="inlineStr">
        <is>
          <t>否</t>
        </is>
      </c>
      <c r="O7" s="20" t="inlineStr">
        <is>
          <t>示例行</t>
        </is>
      </c>
    </row>
    <row r="8">
      <c r="A8" s="22" t="n">
        <v>46315</v>
      </c>
      <c r="B8" s="20" t="inlineStr">
        <is>
          <t>共享</t>
        </is>
      </c>
      <c r="C8" s="20" t="inlineStr">
        <is>
          <t>共享/内部</t>
        </is>
      </c>
      <c r="D8" s="20" t="inlineStr">
        <is>
          <t>共享信息整理与批量任务</t>
        </is>
      </c>
      <c r="E8" s="20" t="inlineStr">
        <is>
          <t>本周政策与补贴整理</t>
        </is>
      </c>
      <c r="F8" s="28" t="n"/>
      <c r="G8" s="28" t="n"/>
      <c r="H8" s="25" t="n">
        <v>60</v>
      </c>
      <c r="I8" s="10">
        <f>IF(H8&lt;&gt;"",H8,IF(AND(F8&lt;&gt;"",G8&lt;&gt;""),ROUND((G8-F8)*1440,0),""))</f>
        <v/>
      </c>
      <c r="J8" s="25" t="n">
        <v>20</v>
      </c>
      <c r="K8" s="9">
        <f>IF(D8="","",IFERROR(VLOOKUP(D8,参数!$A$5:$C$24,2,0),""))</f>
        <v/>
      </c>
      <c r="L8" s="9">
        <f>IF(D8="","",IFERROR(VLOOKUP(D8,参数!$A$5:$C$24,3,0),""))</f>
        <v/>
      </c>
      <c r="M8" s="20" t="inlineStr">
        <is>
          <t>否</t>
        </is>
      </c>
      <c r="N8" s="20" t="inlineStr">
        <is>
          <t>否</t>
        </is>
      </c>
      <c r="O8" s="20" t="inlineStr">
        <is>
          <t>示例行</t>
        </is>
      </c>
    </row>
    <row r="9">
      <c r="A9" s="24" t="n"/>
      <c r="B9" s="21" t="n"/>
      <c r="C9" s="21" t="n"/>
      <c r="D9" s="21" t="n"/>
      <c r="E9" s="21" t="n"/>
      <c r="F9" s="28" t="n"/>
      <c r="G9" s="28" t="n"/>
      <c r="H9" s="26" t="n"/>
      <c r="I9" s="10">
        <f>IF(H9&lt;&gt;"",H9,IF(AND(F9&lt;&gt;"",G9&lt;&gt;""),ROUND((G9-F9)*1440,0),""))</f>
        <v/>
      </c>
      <c r="J9" s="26" t="n"/>
      <c r="K9" s="9">
        <f>IF(D9="","",IFERROR(VLOOKUP(D9,参数!$A$5:$C$24,2,0),""))</f>
        <v/>
      </c>
      <c r="L9" s="9">
        <f>IF(D9="","",IFERROR(VLOOKUP(D9,参数!$A$5:$C$24,3,0),""))</f>
        <v/>
      </c>
      <c r="M9" s="21" t="n"/>
      <c r="N9" s="21" t="n"/>
      <c r="O9" s="21" t="n"/>
    </row>
    <row r="10">
      <c r="A10" s="24" t="n"/>
      <c r="B10" s="21" t="n"/>
      <c r="C10" s="21" t="n"/>
      <c r="D10" s="21" t="n"/>
      <c r="E10" s="21" t="n"/>
      <c r="F10" s="28" t="n"/>
      <c r="G10" s="28" t="n"/>
      <c r="H10" s="26" t="n"/>
      <c r="I10" s="10">
        <f>IF(H10&lt;&gt;"",H10,IF(AND(F10&lt;&gt;"",G10&lt;&gt;""),ROUND((G10-F10)*1440,0),""))</f>
        <v/>
      </c>
      <c r="J10" s="26" t="n"/>
      <c r="K10" s="9">
        <f>IF(D10="","",IFERROR(VLOOKUP(D10,参数!$A$5:$C$24,2,0),""))</f>
        <v/>
      </c>
      <c r="L10" s="9">
        <f>IF(D10="","",IFERROR(VLOOKUP(D10,参数!$A$5:$C$24,3,0),""))</f>
        <v/>
      </c>
      <c r="M10" s="21" t="n"/>
      <c r="N10" s="21" t="n"/>
      <c r="O10" s="21" t="n"/>
    </row>
    <row r="11">
      <c r="A11" s="24" t="n"/>
      <c r="B11" s="21" t="n"/>
      <c r="C11" s="21" t="n"/>
      <c r="D11" s="21" t="n"/>
      <c r="E11" s="21" t="n"/>
      <c r="F11" s="28" t="n"/>
      <c r="G11" s="28" t="n"/>
      <c r="H11" s="26" t="n"/>
      <c r="I11" s="10">
        <f>IF(H11&lt;&gt;"",H11,IF(AND(F11&lt;&gt;"",G11&lt;&gt;""),ROUND((G11-F11)*1440,0),""))</f>
        <v/>
      </c>
      <c r="J11" s="26" t="n"/>
      <c r="K11" s="9">
        <f>IF(D11="","",IFERROR(VLOOKUP(D11,参数!$A$5:$C$24,2,0),""))</f>
        <v/>
      </c>
      <c r="L11" s="9">
        <f>IF(D11="","",IFERROR(VLOOKUP(D11,参数!$A$5:$C$24,3,0),""))</f>
        <v/>
      </c>
      <c r="M11" s="21" t="n"/>
      <c r="N11" s="21" t="n"/>
      <c r="O11" s="21" t="n"/>
    </row>
    <row r="12">
      <c r="A12" s="24" t="n"/>
      <c r="B12" s="21" t="n"/>
      <c r="C12" s="21" t="n"/>
      <c r="D12" s="21" t="n"/>
      <c r="E12" s="21" t="n"/>
      <c r="F12" s="28" t="n"/>
      <c r="G12" s="28" t="n"/>
      <c r="H12" s="26" t="n"/>
      <c r="I12" s="10">
        <f>IF(H12&lt;&gt;"",H12,IF(AND(F12&lt;&gt;"",G12&lt;&gt;""),ROUND((G12-F12)*1440,0),""))</f>
        <v/>
      </c>
      <c r="J12" s="26" t="n"/>
      <c r="K12" s="9">
        <f>IF(D12="","",IFERROR(VLOOKUP(D12,参数!$A$5:$C$24,2,0),""))</f>
        <v/>
      </c>
      <c r="L12" s="9">
        <f>IF(D12="","",IFERROR(VLOOKUP(D12,参数!$A$5:$C$24,3,0),""))</f>
        <v/>
      </c>
      <c r="M12" s="21" t="n"/>
      <c r="N12" s="21" t="n"/>
      <c r="O12" s="21" t="n"/>
    </row>
    <row r="13">
      <c r="A13" s="24" t="n"/>
      <c r="B13" s="21" t="n"/>
      <c r="C13" s="21" t="n"/>
      <c r="D13" s="21" t="n"/>
      <c r="E13" s="21" t="n"/>
      <c r="F13" s="28" t="n"/>
      <c r="G13" s="28" t="n"/>
      <c r="H13" s="26" t="n"/>
      <c r="I13" s="10">
        <f>IF(H13&lt;&gt;"",H13,IF(AND(F13&lt;&gt;"",G13&lt;&gt;""),ROUND((G13-F13)*1440,0),""))</f>
        <v/>
      </c>
      <c r="J13" s="26" t="n"/>
      <c r="K13" s="9">
        <f>IF(D13="","",IFERROR(VLOOKUP(D13,参数!$A$5:$C$24,2,0),""))</f>
        <v/>
      </c>
      <c r="L13" s="9">
        <f>IF(D13="","",IFERROR(VLOOKUP(D13,参数!$A$5:$C$24,3,0),""))</f>
        <v/>
      </c>
      <c r="M13" s="21" t="n"/>
      <c r="N13" s="21" t="n"/>
      <c r="O13" s="21" t="n"/>
    </row>
    <row r="14">
      <c r="A14" s="24" t="n"/>
      <c r="B14" s="21" t="n"/>
      <c r="C14" s="21" t="n"/>
      <c r="D14" s="21" t="n"/>
      <c r="E14" s="21" t="n"/>
      <c r="F14" s="28" t="n"/>
      <c r="G14" s="28" t="n"/>
      <c r="H14" s="26" t="n"/>
      <c r="I14" s="10">
        <f>IF(H14&lt;&gt;"",H14,IF(AND(F14&lt;&gt;"",G14&lt;&gt;""),ROUND((G14-F14)*1440,0),""))</f>
        <v/>
      </c>
      <c r="J14" s="26" t="n"/>
      <c r="K14" s="9">
        <f>IF(D14="","",IFERROR(VLOOKUP(D14,参数!$A$5:$C$24,2,0),""))</f>
        <v/>
      </c>
      <c r="L14" s="9">
        <f>IF(D14="","",IFERROR(VLOOKUP(D14,参数!$A$5:$C$24,3,0),""))</f>
        <v/>
      </c>
      <c r="M14" s="21" t="n"/>
      <c r="N14" s="21" t="n"/>
      <c r="O14" s="21" t="n"/>
    </row>
    <row r="15">
      <c r="A15" s="24" t="n"/>
      <c r="B15" s="21" t="n"/>
      <c r="C15" s="21" t="n"/>
      <c r="D15" s="21" t="n"/>
      <c r="E15" s="21" t="n"/>
      <c r="F15" s="28" t="n"/>
      <c r="G15" s="28" t="n"/>
      <c r="H15" s="26" t="n"/>
      <c r="I15" s="10">
        <f>IF(H15&lt;&gt;"",H15,IF(AND(F15&lt;&gt;"",G15&lt;&gt;""),ROUND((G15-F15)*1440,0),""))</f>
        <v/>
      </c>
      <c r="J15" s="26" t="n"/>
      <c r="K15" s="9">
        <f>IF(D15="","",IFERROR(VLOOKUP(D15,参数!$A$5:$C$24,2,0),""))</f>
        <v/>
      </c>
      <c r="L15" s="9">
        <f>IF(D15="","",IFERROR(VLOOKUP(D15,参数!$A$5:$C$24,3,0),""))</f>
        <v/>
      </c>
      <c r="M15" s="21" t="n"/>
      <c r="N15" s="21" t="n"/>
      <c r="O15" s="21" t="n"/>
    </row>
    <row r="16">
      <c r="A16" s="24" t="n"/>
      <c r="B16" s="21" t="n"/>
      <c r="C16" s="21" t="n"/>
      <c r="D16" s="21" t="n"/>
      <c r="E16" s="21" t="n"/>
      <c r="F16" s="28" t="n"/>
      <c r="G16" s="28" t="n"/>
      <c r="H16" s="26" t="n"/>
      <c r="I16" s="10">
        <f>IF(H16&lt;&gt;"",H16,IF(AND(F16&lt;&gt;"",G16&lt;&gt;""),ROUND((G16-F16)*1440,0),""))</f>
        <v/>
      </c>
      <c r="J16" s="26" t="n"/>
      <c r="K16" s="9">
        <f>IF(D16="","",IFERROR(VLOOKUP(D16,参数!$A$5:$C$24,2,0),""))</f>
        <v/>
      </c>
      <c r="L16" s="9">
        <f>IF(D16="","",IFERROR(VLOOKUP(D16,参数!$A$5:$C$24,3,0),""))</f>
        <v/>
      </c>
      <c r="M16" s="21" t="n"/>
      <c r="N16" s="21" t="n"/>
      <c r="O16" s="21" t="n"/>
    </row>
    <row r="17">
      <c r="A17" s="24" t="n"/>
      <c r="B17" s="21" t="n"/>
      <c r="C17" s="21" t="n"/>
      <c r="D17" s="21" t="n"/>
      <c r="E17" s="21" t="n"/>
      <c r="F17" s="28" t="n"/>
      <c r="G17" s="28" t="n"/>
      <c r="H17" s="26" t="n"/>
      <c r="I17" s="10">
        <f>IF(H17&lt;&gt;"",H17,IF(AND(F17&lt;&gt;"",G17&lt;&gt;""),ROUND((G17-F17)*1440,0),""))</f>
        <v/>
      </c>
      <c r="J17" s="26" t="n"/>
      <c r="K17" s="9">
        <f>IF(D17="","",IFERROR(VLOOKUP(D17,参数!$A$5:$C$24,2,0),""))</f>
        <v/>
      </c>
      <c r="L17" s="9">
        <f>IF(D17="","",IFERROR(VLOOKUP(D17,参数!$A$5:$C$24,3,0),""))</f>
        <v/>
      </c>
      <c r="M17" s="21" t="n"/>
      <c r="N17" s="21" t="n"/>
      <c r="O17" s="21" t="n"/>
    </row>
    <row r="18">
      <c r="A18" s="24" t="n"/>
      <c r="B18" s="21" t="n"/>
      <c r="C18" s="21" t="n"/>
      <c r="D18" s="21" t="n"/>
      <c r="E18" s="21" t="n"/>
      <c r="F18" s="28" t="n"/>
      <c r="G18" s="28" t="n"/>
      <c r="H18" s="26" t="n"/>
      <c r="I18" s="10">
        <f>IF(H18&lt;&gt;"",H18,IF(AND(F18&lt;&gt;"",G18&lt;&gt;""),ROUND((G18-F18)*1440,0),""))</f>
        <v/>
      </c>
      <c r="J18" s="26" t="n"/>
      <c r="K18" s="9">
        <f>IF(D18="","",IFERROR(VLOOKUP(D18,参数!$A$5:$C$24,2,0),""))</f>
        <v/>
      </c>
      <c r="L18" s="9">
        <f>IF(D18="","",IFERROR(VLOOKUP(D18,参数!$A$5:$C$24,3,0),""))</f>
        <v/>
      </c>
      <c r="M18" s="21" t="n"/>
      <c r="N18" s="21" t="n"/>
      <c r="O18" s="21" t="n"/>
    </row>
    <row r="19">
      <c r="A19" s="24" t="n"/>
      <c r="B19" s="21" t="n"/>
      <c r="C19" s="21" t="n"/>
      <c r="D19" s="21" t="n"/>
      <c r="E19" s="21" t="n"/>
      <c r="F19" s="28" t="n"/>
      <c r="G19" s="28" t="n"/>
      <c r="H19" s="26" t="n"/>
      <c r="I19" s="10">
        <f>IF(H19&lt;&gt;"",H19,IF(AND(F19&lt;&gt;"",G19&lt;&gt;""),ROUND((G19-F19)*1440,0),""))</f>
        <v/>
      </c>
      <c r="J19" s="26" t="n"/>
      <c r="K19" s="9">
        <f>IF(D19="","",IFERROR(VLOOKUP(D19,参数!$A$5:$C$24,2,0),""))</f>
        <v/>
      </c>
      <c r="L19" s="9">
        <f>IF(D19="","",IFERROR(VLOOKUP(D19,参数!$A$5:$C$24,3,0),""))</f>
        <v/>
      </c>
      <c r="M19" s="21" t="n"/>
      <c r="N19" s="21" t="n"/>
      <c r="O19" s="21" t="n"/>
    </row>
    <row r="20">
      <c r="A20" s="24" t="n"/>
      <c r="B20" s="21" t="n"/>
      <c r="C20" s="21" t="n"/>
      <c r="D20" s="21" t="n"/>
      <c r="E20" s="21" t="n"/>
      <c r="F20" s="28" t="n"/>
      <c r="G20" s="28" t="n"/>
      <c r="H20" s="26" t="n"/>
      <c r="I20" s="10">
        <f>IF(H20&lt;&gt;"",H20,IF(AND(F20&lt;&gt;"",G20&lt;&gt;""),ROUND((G20-F20)*1440,0),""))</f>
        <v/>
      </c>
      <c r="J20" s="26" t="n"/>
      <c r="K20" s="9">
        <f>IF(D20="","",IFERROR(VLOOKUP(D20,参数!$A$5:$C$24,2,0),""))</f>
        <v/>
      </c>
      <c r="L20" s="9">
        <f>IF(D20="","",IFERROR(VLOOKUP(D20,参数!$A$5:$C$24,3,0),""))</f>
        <v/>
      </c>
      <c r="M20" s="21" t="n"/>
      <c r="N20" s="21" t="n"/>
      <c r="O20" s="21" t="n"/>
    </row>
    <row r="21">
      <c r="A21" s="24" t="n"/>
      <c r="B21" s="21" t="n"/>
      <c r="C21" s="21" t="n"/>
      <c r="D21" s="21" t="n"/>
      <c r="E21" s="21" t="n"/>
      <c r="F21" s="28" t="n"/>
      <c r="G21" s="28" t="n"/>
      <c r="H21" s="26" t="n"/>
      <c r="I21" s="10">
        <f>IF(H21&lt;&gt;"",H21,IF(AND(F21&lt;&gt;"",G21&lt;&gt;""),ROUND((G21-F21)*1440,0),""))</f>
        <v/>
      </c>
      <c r="J21" s="26" t="n"/>
      <c r="K21" s="9">
        <f>IF(D21="","",IFERROR(VLOOKUP(D21,参数!$A$5:$C$24,2,0),""))</f>
        <v/>
      </c>
      <c r="L21" s="9">
        <f>IF(D21="","",IFERROR(VLOOKUP(D21,参数!$A$5:$C$24,3,0),""))</f>
        <v/>
      </c>
      <c r="M21" s="21" t="n"/>
      <c r="N21" s="21" t="n"/>
      <c r="O21" s="21" t="n"/>
    </row>
    <row r="22">
      <c r="A22" s="24" t="n"/>
      <c r="B22" s="21" t="n"/>
      <c r="C22" s="21" t="n"/>
      <c r="D22" s="21" t="n"/>
      <c r="E22" s="21" t="n"/>
      <c r="F22" s="28" t="n"/>
      <c r="G22" s="28" t="n"/>
      <c r="H22" s="26" t="n"/>
      <c r="I22" s="10">
        <f>IF(H22&lt;&gt;"",H22,IF(AND(F22&lt;&gt;"",G22&lt;&gt;""),ROUND((G22-F22)*1440,0),""))</f>
        <v/>
      </c>
      <c r="J22" s="26" t="n"/>
      <c r="K22" s="9">
        <f>IF(D22="","",IFERROR(VLOOKUP(D22,参数!$A$5:$C$24,2,0),""))</f>
        <v/>
      </c>
      <c r="L22" s="9">
        <f>IF(D22="","",IFERROR(VLOOKUP(D22,参数!$A$5:$C$24,3,0),""))</f>
        <v/>
      </c>
      <c r="M22" s="21" t="n"/>
      <c r="N22" s="21" t="n"/>
      <c r="O22" s="21" t="n"/>
    </row>
    <row r="23">
      <c r="A23" s="24" t="n"/>
      <c r="B23" s="21" t="n"/>
      <c r="C23" s="21" t="n"/>
      <c r="D23" s="21" t="n"/>
      <c r="E23" s="21" t="n"/>
      <c r="F23" s="28" t="n"/>
      <c r="G23" s="28" t="n"/>
      <c r="H23" s="26" t="n"/>
      <c r="I23" s="10">
        <f>IF(H23&lt;&gt;"",H23,IF(AND(F23&lt;&gt;"",G23&lt;&gt;""),ROUND((G23-F23)*1440,0),""))</f>
        <v/>
      </c>
      <c r="J23" s="26" t="n"/>
      <c r="K23" s="9">
        <f>IF(D23="","",IFERROR(VLOOKUP(D23,参数!$A$5:$C$24,2,0),""))</f>
        <v/>
      </c>
      <c r="L23" s="9">
        <f>IF(D23="","",IFERROR(VLOOKUP(D23,参数!$A$5:$C$24,3,0),""))</f>
        <v/>
      </c>
      <c r="M23" s="21" t="n"/>
      <c r="N23" s="21" t="n"/>
      <c r="O23" s="21" t="n"/>
    </row>
    <row r="24">
      <c r="A24" s="24" t="n"/>
      <c r="B24" s="21" t="n"/>
      <c r="C24" s="21" t="n"/>
      <c r="D24" s="21" t="n"/>
      <c r="E24" s="21" t="n"/>
      <c r="F24" s="28" t="n"/>
      <c r="G24" s="28" t="n"/>
      <c r="H24" s="26" t="n"/>
      <c r="I24" s="10">
        <f>IF(H24&lt;&gt;"",H24,IF(AND(F24&lt;&gt;"",G24&lt;&gt;""),ROUND((G24-F24)*1440,0),""))</f>
        <v/>
      </c>
      <c r="J24" s="26" t="n"/>
      <c r="K24" s="9">
        <f>IF(D24="","",IFERROR(VLOOKUP(D24,参数!$A$5:$C$24,2,0),""))</f>
        <v/>
      </c>
      <c r="L24" s="9">
        <f>IF(D24="","",IFERROR(VLOOKUP(D24,参数!$A$5:$C$24,3,0),""))</f>
        <v/>
      </c>
      <c r="M24" s="21" t="n"/>
      <c r="N24" s="21" t="n"/>
      <c r="O24" s="21" t="n"/>
    </row>
    <row r="25">
      <c r="A25" s="24" t="n"/>
      <c r="B25" s="21" t="n"/>
      <c r="C25" s="21" t="n"/>
      <c r="D25" s="21" t="n"/>
      <c r="E25" s="21" t="n"/>
      <c r="F25" s="28" t="n"/>
      <c r="G25" s="28" t="n"/>
      <c r="H25" s="26" t="n"/>
      <c r="I25" s="10">
        <f>IF(H25&lt;&gt;"",H25,IF(AND(F25&lt;&gt;"",G25&lt;&gt;""),ROUND((G25-F25)*1440,0),""))</f>
        <v/>
      </c>
      <c r="J25" s="26" t="n"/>
      <c r="K25" s="9">
        <f>IF(D25="","",IFERROR(VLOOKUP(D25,参数!$A$5:$C$24,2,0),""))</f>
        <v/>
      </c>
      <c r="L25" s="9">
        <f>IF(D25="","",IFERROR(VLOOKUP(D25,参数!$A$5:$C$24,3,0),""))</f>
        <v/>
      </c>
      <c r="M25" s="21" t="n"/>
      <c r="N25" s="21" t="n"/>
      <c r="O25" s="21" t="n"/>
    </row>
    <row r="26">
      <c r="A26" s="24" t="n"/>
      <c r="B26" s="21" t="n"/>
      <c r="C26" s="21" t="n"/>
      <c r="D26" s="21" t="n"/>
      <c r="E26" s="21" t="n"/>
      <c r="F26" s="28" t="n"/>
      <c r="G26" s="28" t="n"/>
      <c r="H26" s="26" t="n"/>
      <c r="I26" s="10">
        <f>IF(H26&lt;&gt;"",H26,IF(AND(F26&lt;&gt;"",G26&lt;&gt;""),ROUND((G26-F26)*1440,0),""))</f>
        <v/>
      </c>
      <c r="J26" s="26" t="n"/>
      <c r="K26" s="9">
        <f>IF(D26="","",IFERROR(VLOOKUP(D26,参数!$A$5:$C$24,2,0),""))</f>
        <v/>
      </c>
      <c r="L26" s="9">
        <f>IF(D26="","",IFERROR(VLOOKUP(D26,参数!$A$5:$C$24,3,0),""))</f>
        <v/>
      </c>
      <c r="M26" s="21" t="n"/>
      <c r="N26" s="21" t="n"/>
      <c r="O26" s="21" t="n"/>
    </row>
    <row r="27">
      <c r="A27" s="24" t="n"/>
      <c r="B27" s="21" t="n"/>
      <c r="C27" s="21" t="n"/>
      <c r="D27" s="21" t="n"/>
      <c r="E27" s="21" t="n"/>
      <c r="F27" s="28" t="n"/>
      <c r="G27" s="28" t="n"/>
      <c r="H27" s="26" t="n"/>
      <c r="I27" s="10">
        <f>IF(H27&lt;&gt;"",H27,IF(AND(F27&lt;&gt;"",G27&lt;&gt;""),ROUND((G27-F27)*1440,0),""))</f>
        <v/>
      </c>
      <c r="J27" s="26" t="n"/>
      <c r="K27" s="9">
        <f>IF(D27="","",IFERROR(VLOOKUP(D27,参数!$A$5:$C$24,2,0),""))</f>
        <v/>
      </c>
      <c r="L27" s="9">
        <f>IF(D27="","",IFERROR(VLOOKUP(D27,参数!$A$5:$C$24,3,0),""))</f>
        <v/>
      </c>
      <c r="M27" s="21" t="n"/>
      <c r="N27" s="21" t="n"/>
      <c r="O27" s="21" t="n"/>
    </row>
    <row r="28">
      <c r="A28" s="24" t="n"/>
      <c r="B28" s="21" t="n"/>
      <c r="C28" s="21" t="n"/>
      <c r="D28" s="21" t="n"/>
      <c r="E28" s="21" t="n"/>
      <c r="F28" s="28" t="n"/>
      <c r="G28" s="28" t="n"/>
      <c r="H28" s="26" t="n"/>
      <c r="I28" s="10">
        <f>IF(H28&lt;&gt;"",H28,IF(AND(F28&lt;&gt;"",G28&lt;&gt;""),ROUND((G28-F28)*1440,0),""))</f>
        <v/>
      </c>
      <c r="J28" s="26" t="n"/>
      <c r="K28" s="9">
        <f>IF(D28="","",IFERROR(VLOOKUP(D28,参数!$A$5:$C$24,2,0),""))</f>
        <v/>
      </c>
      <c r="L28" s="9">
        <f>IF(D28="","",IFERROR(VLOOKUP(D28,参数!$A$5:$C$24,3,0),""))</f>
        <v/>
      </c>
      <c r="M28" s="21" t="n"/>
      <c r="N28" s="21" t="n"/>
      <c r="O28" s="21" t="n"/>
    </row>
    <row r="29">
      <c r="A29" s="24" t="n"/>
      <c r="B29" s="21" t="n"/>
      <c r="C29" s="21" t="n"/>
      <c r="D29" s="21" t="n"/>
      <c r="E29" s="21" t="n"/>
      <c r="F29" s="28" t="n"/>
      <c r="G29" s="28" t="n"/>
      <c r="H29" s="26" t="n"/>
      <c r="I29" s="10">
        <f>IF(H29&lt;&gt;"",H29,IF(AND(F29&lt;&gt;"",G29&lt;&gt;""),ROUND((G29-F29)*1440,0),""))</f>
        <v/>
      </c>
      <c r="J29" s="26" t="n"/>
      <c r="K29" s="9">
        <f>IF(D29="","",IFERROR(VLOOKUP(D29,参数!$A$5:$C$24,2,0),""))</f>
        <v/>
      </c>
      <c r="L29" s="9">
        <f>IF(D29="","",IFERROR(VLOOKUP(D29,参数!$A$5:$C$24,3,0),""))</f>
        <v/>
      </c>
      <c r="M29" s="21" t="n"/>
      <c r="N29" s="21" t="n"/>
      <c r="O29" s="21" t="n"/>
    </row>
    <row r="30">
      <c r="A30" s="24" t="n"/>
      <c r="B30" s="21" t="n"/>
      <c r="C30" s="21" t="n"/>
      <c r="D30" s="21" t="n"/>
      <c r="E30" s="21" t="n"/>
      <c r="F30" s="28" t="n"/>
      <c r="G30" s="28" t="n"/>
      <c r="H30" s="26" t="n"/>
      <c r="I30" s="10">
        <f>IF(H30&lt;&gt;"",H30,IF(AND(F30&lt;&gt;"",G30&lt;&gt;""),ROUND((G30-F30)*1440,0),""))</f>
        <v/>
      </c>
      <c r="J30" s="26" t="n"/>
      <c r="K30" s="9">
        <f>IF(D30="","",IFERROR(VLOOKUP(D30,参数!$A$5:$C$24,2,0),""))</f>
        <v/>
      </c>
      <c r="L30" s="9">
        <f>IF(D30="","",IFERROR(VLOOKUP(D30,参数!$A$5:$C$24,3,0),""))</f>
        <v/>
      </c>
      <c r="M30" s="21" t="n"/>
      <c r="N30" s="21" t="n"/>
      <c r="O30" s="21" t="n"/>
    </row>
    <row r="31">
      <c r="A31" s="24" t="n"/>
      <c r="B31" s="21" t="n"/>
      <c r="C31" s="21" t="n"/>
      <c r="D31" s="21" t="n"/>
      <c r="E31" s="21" t="n"/>
      <c r="F31" s="28" t="n"/>
      <c r="G31" s="28" t="n"/>
      <c r="H31" s="26" t="n"/>
      <c r="I31" s="10">
        <f>IF(H31&lt;&gt;"",H31,IF(AND(F31&lt;&gt;"",G31&lt;&gt;""),ROUND((G31-F31)*1440,0),""))</f>
        <v/>
      </c>
      <c r="J31" s="26" t="n"/>
      <c r="K31" s="9">
        <f>IF(D31="","",IFERROR(VLOOKUP(D31,参数!$A$5:$C$24,2,0),""))</f>
        <v/>
      </c>
      <c r="L31" s="9">
        <f>IF(D31="","",IFERROR(VLOOKUP(D31,参数!$A$5:$C$24,3,0),""))</f>
        <v/>
      </c>
      <c r="M31" s="21" t="n"/>
      <c r="N31" s="21" t="n"/>
      <c r="O31" s="21" t="n"/>
    </row>
    <row r="32">
      <c r="A32" s="24" t="n"/>
      <c r="B32" s="21" t="n"/>
      <c r="C32" s="21" t="n"/>
      <c r="D32" s="21" t="n"/>
      <c r="E32" s="21" t="n"/>
      <c r="F32" s="28" t="n"/>
      <c r="G32" s="28" t="n"/>
      <c r="H32" s="26" t="n"/>
      <c r="I32" s="10">
        <f>IF(H32&lt;&gt;"",H32,IF(AND(F32&lt;&gt;"",G32&lt;&gt;""),ROUND((G32-F32)*1440,0),""))</f>
        <v/>
      </c>
      <c r="J32" s="26" t="n"/>
      <c r="K32" s="9">
        <f>IF(D32="","",IFERROR(VLOOKUP(D32,参数!$A$5:$C$24,2,0),""))</f>
        <v/>
      </c>
      <c r="L32" s="9">
        <f>IF(D32="","",IFERROR(VLOOKUP(D32,参数!$A$5:$C$24,3,0),""))</f>
        <v/>
      </c>
      <c r="M32" s="21" t="n"/>
      <c r="N32" s="21" t="n"/>
      <c r="O32" s="21" t="n"/>
    </row>
    <row r="33">
      <c r="A33" s="24" t="n"/>
      <c r="B33" s="21" t="n"/>
      <c r="C33" s="21" t="n"/>
      <c r="D33" s="21" t="n"/>
      <c r="E33" s="21" t="n"/>
      <c r="F33" s="28" t="n"/>
      <c r="G33" s="28" t="n"/>
      <c r="H33" s="26" t="n"/>
      <c r="I33" s="10">
        <f>IF(H33&lt;&gt;"",H33,IF(AND(F33&lt;&gt;"",G33&lt;&gt;""),ROUND((G33-F33)*1440,0),""))</f>
        <v/>
      </c>
      <c r="J33" s="26" t="n"/>
      <c r="K33" s="9">
        <f>IF(D33="","",IFERROR(VLOOKUP(D33,参数!$A$5:$C$24,2,0),""))</f>
        <v/>
      </c>
      <c r="L33" s="9">
        <f>IF(D33="","",IFERROR(VLOOKUP(D33,参数!$A$5:$C$24,3,0),""))</f>
        <v/>
      </c>
      <c r="M33" s="21" t="n"/>
      <c r="N33" s="21" t="n"/>
      <c r="O33" s="21" t="n"/>
    </row>
    <row r="34">
      <c r="A34" s="24" t="n"/>
      <c r="B34" s="21" t="n"/>
      <c r="C34" s="21" t="n"/>
      <c r="D34" s="21" t="n"/>
      <c r="E34" s="21" t="n"/>
      <c r="F34" s="28" t="n"/>
      <c r="G34" s="28" t="n"/>
      <c r="H34" s="26" t="n"/>
      <c r="I34" s="10">
        <f>IF(H34&lt;&gt;"",H34,IF(AND(F34&lt;&gt;"",G34&lt;&gt;""),ROUND((G34-F34)*1440,0),""))</f>
        <v/>
      </c>
      <c r="J34" s="26" t="n"/>
      <c r="K34" s="9">
        <f>IF(D34="","",IFERROR(VLOOKUP(D34,参数!$A$5:$C$24,2,0),""))</f>
        <v/>
      </c>
      <c r="L34" s="9">
        <f>IF(D34="","",IFERROR(VLOOKUP(D34,参数!$A$5:$C$24,3,0),""))</f>
        <v/>
      </c>
      <c r="M34" s="21" t="n"/>
      <c r="N34" s="21" t="n"/>
      <c r="O34" s="21" t="n"/>
    </row>
    <row r="35">
      <c r="A35" s="24" t="n"/>
      <c r="B35" s="21" t="n"/>
      <c r="C35" s="21" t="n"/>
      <c r="D35" s="21" t="n"/>
      <c r="E35" s="21" t="n"/>
      <c r="F35" s="28" t="n"/>
      <c r="G35" s="28" t="n"/>
      <c r="H35" s="26" t="n"/>
      <c r="I35" s="10">
        <f>IF(H35&lt;&gt;"",H35,IF(AND(F35&lt;&gt;"",G35&lt;&gt;""),ROUND((G35-F35)*1440,0),""))</f>
        <v/>
      </c>
      <c r="J35" s="26" t="n"/>
      <c r="K35" s="9">
        <f>IF(D35="","",IFERROR(VLOOKUP(D35,参数!$A$5:$C$24,2,0),""))</f>
        <v/>
      </c>
      <c r="L35" s="9">
        <f>IF(D35="","",IFERROR(VLOOKUP(D35,参数!$A$5:$C$24,3,0),""))</f>
        <v/>
      </c>
      <c r="M35" s="21" t="n"/>
      <c r="N35" s="21" t="n"/>
      <c r="O35" s="21" t="n"/>
    </row>
    <row r="36">
      <c r="A36" s="24" t="n"/>
      <c r="B36" s="21" t="n"/>
      <c r="C36" s="21" t="n"/>
      <c r="D36" s="21" t="n"/>
      <c r="E36" s="21" t="n"/>
      <c r="F36" s="28" t="n"/>
      <c r="G36" s="28" t="n"/>
      <c r="H36" s="26" t="n"/>
      <c r="I36" s="10">
        <f>IF(H36&lt;&gt;"",H36,IF(AND(F36&lt;&gt;"",G36&lt;&gt;""),ROUND((G36-F36)*1440,0),""))</f>
        <v/>
      </c>
      <c r="J36" s="26" t="n"/>
      <c r="K36" s="9">
        <f>IF(D36="","",IFERROR(VLOOKUP(D36,参数!$A$5:$C$24,2,0),""))</f>
        <v/>
      </c>
      <c r="L36" s="9">
        <f>IF(D36="","",IFERROR(VLOOKUP(D36,参数!$A$5:$C$24,3,0),""))</f>
        <v/>
      </c>
      <c r="M36" s="21" t="n"/>
      <c r="N36" s="21" t="n"/>
      <c r="O36" s="21" t="n"/>
    </row>
    <row r="37">
      <c r="A37" s="24" t="n"/>
      <c r="B37" s="21" t="n"/>
      <c r="C37" s="21" t="n"/>
      <c r="D37" s="21" t="n"/>
      <c r="E37" s="21" t="n"/>
      <c r="F37" s="28" t="n"/>
      <c r="G37" s="28" t="n"/>
      <c r="H37" s="26" t="n"/>
      <c r="I37" s="10">
        <f>IF(H37&lt;&gt;"",H37,IF(AND(F37&lt;&gt;"",G37&lt;&gt;""),ROUND((G37-F37)*1440,0),""))</f>
        <v/>
      </c>
      <c r="J37" s="26" t="n"/>
      <c r="K37" s="9">
        <f>IF(D37="","",IFERROR(VLOOKUP(D37,参数!$A$5:$C$24,2,0),""))</f>
        <v/>
      </c>
      <c r="L37" s="9">
        <f>IF(D37="","",IFERROR(VLOOKUP(D37,参数!$A$5:$C$24,3,0),""))</f>
        <v/>
      </c>
      <c r="M37" s="21" t="n"/>
      <c r="N37" s="21" t="n"/>
      <c r="O37" s="21" t="n"/>
    </row>
    <row r="38">
      <c r="A38" s="24" t="n"/>
      <c r="B38" s="21" t="n"/>
      <c r="C38" s="21" t="n"/>
      <c r="D38" s="21" t="n"/>
      <c r="E38" s="21" t="n"/>
      <c r="F38" s="28" t="n"/>
      <c r="G38" s="28" t="n"/>
      <c r="H38" s="26" t="n"/>
      <c r="I38" s="10">
        <f>IF(H38&lt;&gt;"",H38,IF(AND(F38&lt;&gt;"",G38&lt;&gt;""),ROUND((G38-F38)*1440,0),""))</f>
        <v/>
      </c>
      <c r="J38" s="26" t="n"/>
      <c r="K38" s="9">
        <f>IF(D38="","",IFERROR(VLOOKUP(D38,参数!$A$5:$C$24,2,0),""))</f>
        <v/>
      </c>
      <c r="L38" s="9">
        <f>IF(D38="","",IFERROR(VLOOKUP(D38,参数!$A$5:$C$24,3,0),""))</f>
        <v/>
      </c>
      <c r="M38" s="21" t="n"/>
      <c r="N38" s="21" t="n"/>
      <c r="O38" s="21" t="n"/>
    </row>
    <row r="39">
      <c r="A39" s="24" t="n"/>
      <c r="B39" s="21" t="n"/>
      <c r="C39" s="21" t="n"/>
      <c r="D39" s="21" t="n"/>
      <c r="E39" s="21" t="n"/>
      <c r="F39" s="28" t="n"/>
      <c r="G39" s="28" t="n"/>
      <c r="H39" s="26" t="n"/>
      <c r="I39" s="10">
        <f>IF(H39&lt;&gt;"",H39,IF(AND(F39&lt;&gt;"",G39&lt;&gt;""),ROUND((G39-F39)*1440,0),""))</f>
        <v/>
      </c>
      <c r="J39" s="26" t="n"/>
      <c r="K39" s="9">
        <f>IF(D39="","",IFERROR(VLOOKUP(D39,参数!$A$5:$C$24,2,0),""))</f>
        <v/>
      </c>
      <c r="L39" s="9">
        <f>IF(D39="","",IFERROR(VLOOKUP(D39,参数!$A$5:$C$24,3,0),""))</f>
        <v/>
      </c>
      <c r="M39" s="21" t="n"/>
      <c r="N39" s="21" t="n"/>
      <c r="O39" s="21" t="n"/>
    </row>
    <row r="40">
      <c r="A40" s="24" t="n"/>
      <c r="B40" s="21" t="n"/>
      <c r="C40" s="21" t="n"/>
      <c r="D40" s="21" t="n"/>
      <c r="E40" s="21" t="n"/>
      <c r="F40" s="28" t="n"/>
      <c r="G40" s="28" t="n"/>
      <c r="H40" s="26" t="n"/>
      <c r="I40" s="10">
        <f>IF(H40&lt;&gt;"",H40,IF(AND(F40&lt;&gt;"",G40&lt;&gt;""),ROUND((G40-F40)*1440,0),""))</f>
        <v/>
      </c>
      <c r="J40" s="26" t="n"/>
      <c r="K40" s="9">
        <f>IF(D40="","",IFERROR(VLOOKUP(D40,参数!$A$5:$C$24,2,0),""))</f>
        <v/>
      </c>
      <c r="L40" s="9">
        <f>IF(D40="","",IFERROR(VLOOKUP(D40,参数!$A$5:$C$24,3,0),""))</f>
        <v/>
      </c>
      <c r="M40" s="21" t="n"/>
      <c r="N40" s="21" t="n"/>
      <c r="O40" s="21" t="n"/>
    </row>
    <row r="41">
      <c r="A41" s="24" t="n"/>
      <c r="B41" s="21" t="n"/>
      <c r="C41" s="21" t="n"/>
      <c r="D41" s="21" t="n"/>
      <c r="E41" s="21" t="n"/>
      <c r="F41" s="28" t="n"/>
      <c r="G41" s="28" t="n"/>
      <c r="H41" s="26" t="n"/>
      <c r="I41" s="10">
        <f>IF(H41&lt;&gt;"",H41,IF(AND(F41&lt;&gt;"",G41&lt;&gt;""),ROUND((G41-F41)*1440,0),""))</f>
        <v/>
      </c>
      <c r="J41" s="26" t="n"/>
      <c r="K41" s="9">
        <f>IF(D41="","",IFERROR(VLOOKUP(D41,参数!$A$5:$C$24,2,0),""))</f>
        <v/>
      </c>
      <c r="L41" s="9">
        <f>IF(D41="","",IFERROR(VLOOKUP(D41,参数!$A$5:$C$24,3,0),""))</f>
        <v/>
      </c>
      <c r="M41" s="21" t="n"/>
      <c r="N41" s="21" t="n"/>
      <c r="O41" s="21" t="n"/>
    </row>
    <row r="42">
      <c r="A42" s="24" t="n"/>
      <c r="B42" s="21" t="n"/>
      <c r="C42" s="21" t="n"/>
      <c r="D42" s="21" t="n"/>
      <c r="E42" s="21" t="n"/>
      <c r="F42" s="28" t="n"/>
      <c r="G42" s="28" t="n"/>
      <c r="H42" s="26" t="n"/>
      <c r="I42" s="10">
        <f>IF(H42&lt;&gt;"",H42,IF(AND(F42&lt;&gt;"",G42&lt;&gt;""),ROUND((G42-F42)*1440,0),""))</f>
        <v/>
      </c>
      <c r="J42" s="26" t="n"/>
      <c r="K42" s="9">
        <f>IF(D42="","",IFERROR(VLOOKUP(D42,参数!$A$5:$C$24,2,0),""))</f>
        <v/>
      </c>
      <c r="L42" s="9">
        <f>IF(D42="","",IFERROR(VLOOKUP(D42,参数!$A$5:$C$24,3,0),""))</f>
        <v/>
      </c>
      <c r="M42" s="21" t="n"/>
      <c r="N42" s="21" t="n"/>
      <c r="O42" s="21" t="n"/>
    </row>
    <row r="43">
      <c r="A43" s="24" t="n"/>
      <c r="B43" s="21" t="n"/>
      <c r="C43" s="21" t="n"/>
      <c r="D43" s="21" t="n"/>
      <c r="E43" s="21" t="n"/>
      <c r="F43" s="28" t="n"/>
      <c r="G43" s="28" t="n"/>
      <c r="H43" s="26" t="n"/>
      <c r="I43" s="10">
        <f>IF(H43&lt;&gt;"",H43,IF(AND(F43&lt;&gt;"",G43&lt;&gt;""),ROUND((G43-F43)*1440,0),""))</f>
        <v/>
      </c>
      <c r="J43" s="26" t="n"/>
      <c r="K43" s="9">
        <f>IF(D43="","",IFERROR(VLOOKUP(D43,参数!$A$5:$C$24,2,0),""))</f>
        <v/>
      </c>
      <c r="L43" s="9">
        <f>IF(D43="","",IFERROR(VLOOKUP(D43,参数!$A$5:$C$24,3,0),""))</f>
        <v/>
      </c>
      <c r="M43" s="21" t="n"/>
      <c r="N43" s="21" t="n"/>
      <c r="O43" s="21" t="n"/>
    </row>
    <row r="44">
      <c r="A44" s="24" t="n"/>
      <c r="B44" s="21" t="n"/>
      <c r="C44" s="21" t="n"/>
      <c r="D44" s="21" t="n"/>
      <c r="E44" s="21" t="n"/>
      <c r="F44" s="28" t="n"/>
      <c r="G44" s="28" t="n"/>
      <c r="H44" s="26" t="n"/>
      <c r="I44" s="10">
        <f>IF(H44&lt;&gt;"",H44,IF(AND(F44&lt;&gt;"",G44&lt;&gt;""),ROUND((G44-F44)*1440,0),""))</f>
        <v/>
      </c>
      <c r="J44" s="26" t="n"/>
      <c r="K44" s="9">
        <f>IF(D44="","",IFERROR(VLOOKUP(D44,参数!$A$5:$C$24,2,0),""))</f>
        <v/>
      </c>
      <c r="L44" s="9">
        <f>IF(D44="","",IFERROR(VLOOKUP(D44,参数!$A$5:$C$24,3,0),""))</f>
        <v/>
      </c>
      <c r="M44" s="21" t="n"/>
      <c r="N44" s="21" t="n"/>
      <c r="O44" s="21" t="n"/>
    </row>
    <row r="45">
      <c r="A45" s="24" t="n"/>
      <c r="B45" s="21" t="n"/>
      <c r="C45" s="21" t="n"/>
      <c r="D45" s="21" t="n"/>
      <c r="E45" s="21" t="n"/>
      <c r="F45" s="28" t="n"/>
      <c r="G45" s="28" t="n"/>
      <c r="H45" s="26" t="n"/>
      <c r="I45" s="10">
        <f>IF(H45&lt;&gt;"",H45,IF(AND(F45&lt;&gt;"",G45&lt;&gt;""),ROUND((G45-F45)*1440,0),""))</f>
        <v/>
      </c>
      <c r="J45" s="26" t="n"/>
      <c r="K45" s="9">
        <f>IF(D45="","",IFERROR(VLOOKUP(D45,参数!$A$5:$C$24,2,0),""))</f>
        <v/>
      </c>
      <c r="L45" s="9">
        <f>IF(D45="","",IFERROR(VLOOKUP(D45,参数!$A$5:$C$24,3,0),""))</f>
        <v/>
      </c>
      <c r="M45" s="21" t="n"/>
      <c r="N45" s="21" t="n"/>
      <c r="O45" s="21" t="n"/>
    </row>
    <row r="46">
      <c r="A46" s="24" t="n"/>
      <c r="B46" s="21" t="n"/>
      <c r="C46" s="21" t="n"/>
      <c r="D46" s="21" t="n"/>
      <c r="E46" s="21" t="n"/>
      <c r="F46" s="28" t="n"/>
      <c r="G46" s="28" t="n"/>
      <c r="H46" s="26" t="n"/>
      <c r="I46" s="10">
        <f>IF(H46&lt;&gt;"",H46,IF(AND(F46&lt;&gt;"",G46&lt;&gt;""),ROUND((G46-F46)*1440,0),""))</f>
        <v/>
      </c>
      <c r="J46" s="26" t="n"/>
      <c r="K46" s="9">
        <f>IF(D46="","",IFERROR(VLOOKUP(D46,参数!$A$5:$C$24,2,0),""))</f>
        <v/>
      </c>
      <c r="L46" s="9">
        <f>IF(D46="","",IFERROR(VLOOKUP(D46,参数!$A$5:$C$24,3,0),""))</f>
        <v/>
      </c>
      <c r="M46" s="21" t="n"/>
      <c r="N46" s="21" t="n"/>
      <c r="O46" s="21" t="n"/>
    </row>
    <row r="47">
      <c r="A47" s="24" t="n"/>
      <c r="B47" s="21" t="n"/>
      <c r="C47" s="21" t="n"/>
      <c r="D47" s="21" t="n"/>
      <c r="E47" s="21" t="n"/>
      <c r="F47" s="28" t="n"/>
      <c r="G47" s="28" t="n"/>
      <c r="H47" s="26" t="n"/>
      <c r="I47" s="10">
        <f>IF(H47&lt;&gt;"",H47,IF(AND(F47&lt;&gt;"",G47&lt;&gt;""),ROUND((G47-F47)*1440,0),""))</f>
        <v/>
      </c>
      <c r="J47" s="26" t="n"/>
      <c r="K47" s="9">
        <f>IF(D47="","",IFERROR(VLOOKUP(D47,参数!$A$5:$C$24,2,0),""))</f>
        <v/>
      </c>
      <c r="L47" s="9">
        <f>IF(D47="","",IFERROR(VLOOKUP(D47,参数!$A$5:$C$24,3,0),""))</f>
        <v/>
      </c>
      <c r="M47" s="21" t="n"/>
      <c r="N47" s="21" t="n"/>
      <c r="O47" s="21" t="n"/>
    </row>
    <row r="48">
      <c r="A48" s="24" t="n"/>
      <c r="B48" s="21" t="n"/>
      <c r="C48" s="21" t="n"/>
      <c r="D48" s="21" t="n"/>
      <c r="E48" s="21" t="n"/>
      <c r="F48" s="28" t="n"/>
      <c r="G48" s="28" t="n"/>
      <c r="H48" s="26" t="n"/>
      <c r="I48" s="10">
        <f>IF(H48&lt;&gt;"",H48,IF(AND(F48&lt;&gt;"",G48&lt;&gt;""),ROUND((G48-F48)*1440,0),""))</f>
        <v/>
      </c>
      <c r="J48" s="26" t="n"/>
      <c r="K48" s="9">
        <f>IF(D48="","",IFERROR(VLOOKUP(D48,参数!$A$5:$C$24,2,0),""))</f>
        <v/>
      </c>
      <c r="L48" s="9">
        <f>IF(D48="","",IFERROR(VLOOKUP(D48,参数!$A$5:$C$24,3,0),""))</f>
        <v/>
      </c>
      <c r="M48" s="21" t="n"/>
      <c r="N48" s="21" t="n"/>
      <c r="O48" s="21" t="n"/>
    </row>
    <row r="49">
      <c r="A49" s="24" t="n"/>
      <c r="B49" s="21" t="n"/>
      <c r="C49" s="21" t="n"/>
      <c r="D49" s="21" t="n"/>
      <c r="E49" s="21" t="n"/>
      <c r="F49" s="28" t="n"/>
      <c r="G49" s="28" t="n"/>
      <c r="H49" s="26" t="n"/>
      <c r="I49" s="10">
        <f>IF(H49&lt;&gt;"",H49,IF(AND(F49&lt;&gt;"",G49&lt;&gt;""),ROUND((G49-F49)*1440,0),""))</f>
        <v/>
      </c>
      <c r="J49" s="26" t="n"/>
      <c r="K49" s="9">
        <f>IF(D49="","",IFERROR(VLOOKUP(D49,参数!$A$5:$C$24,2,0),""))</f>
        <v/>
      </c>
      <c r="L49" s="9">
        <f>IF(D49="","",IFERROR(VLOOKUP(D49,参数!$A$5:$C$24,3,0),""))</f>
        <v/>
      </c>
      <c r="M49" s="21" t="n"/>
      <c r="N49" s="21" t="n"/>
      <c r="O49" s="21" t="n"/>
    </row>
    <row r="50">
      <c r="A50" s="24" t="n"/>
      <c r="B50" s="21" t="n"/>
      <c r="C50" s="21" t="n"/>
      <c r="D50" s="21" t="n"/>
      <c r="E50" s="21" t="n"/>
      <c r="F50" s="28" t="n"/>
      <c r="G50" s="28" t="n"/>
      <c r="H50" s="26" t="n"/>
      <c r="I50" s="10">
        <f>IF(H50&lt;&gt;"",H50,IF(AND(F50&lt;&gt;"",G50&lt;&gt;""),ROUND((G50-F50)*1440,0),""))</f>
        <v/>
      </c>
      <c r="J50" s="26" t="n"/>
      <c r="K50" s="9">
        <f>IF(D50="","",IFERROR(VLOOKUP(D50,参数!$A$5:$C$24,2,0),""))</f>
        <v/>
      </c>
      <c r="L50" s="9">
        <f>IF(D50="","",IFERROR(VLOOKUP(D50,参数!$A$5:$C$24,3,0),""))</f>
        <v/>
      </c>
      <c r="M50" s="21" t="n"/>
      <c r="N50" s="21" t="n"/>
      <c r="O50" s="21" t="n"/>
    </row>
    <row r="51">
      <c r="A51" s="24" t="n"/>
      <c r="B51" s="21" t="n"/>
      <c r="C51" s="21" t="n"/>
      <c r="D51" s="21" t="n"/>
      <c r="E51" s="21" t="n"/>
      <c r="F51" s="28" t="n"/>
      <c r="G51" s="28" t="n"/>
      <c r="H51" s="26" t="n"/>
      <c r="I51" s="10">
        <f>IF(H51&lt;&gt;"",H51,IF(AND(F51&lt;&gt;"",G51&lt;&gt;""),ROUND((G51-F51)*1440,0),""))</f>
        <v/>
      </c>
      <c r="J51" s="26" t="n"/>
      <c r="K51" s="9">
        <f>IF(D51="","",IFERROR(VLOOKUP(D51,参数!$A$5:$C$24,2,0),""))</f>
        <v/>
      </c>
      <c r="L51" s="9">
        <f>IF(D51="","",IFERROR(VLOOKUP(D51,参数!$A$5:$C$24,3,0),""))</f>
        <v/>
      </c>
      <c r="M51" s="21" t="n"/>
      <c r="N51" s="21" t="n"/>
      <c r="O51" s="21" t="n"/>
    </row>
    <row r="52">
      <c r="A52" s="24" t="n"/>
      <c r="B52" s="21" t="n"/>
      <c r="C52" s="21" t="n"/>
      <c r="D52" s="21" t="n"/>
      <c r="E52" s="21" t="n"/>
      <c r="F52" s="28" t="n"/>
      <c r="G52" s="28" t="n"/>
      <c r="H52" s="26" t="n"/>
      <c r="I52" s="10">
        <f>IF(H52&lt;&gt;"",H52,IF(AND(F52&lt;&gt;"",G52&lt;&gt;""),ROUND((G52-F52)*1440,0),""))</f>
        <v/>
      </c>
      <c r="J52" s="26" t="n"/>
      <c r="K52" s="9">
        <f>IF(D52="","",IFERROR(VLOOKUP(D52,参数!$A$5:$C$24,2,0),""))</f>
        <v/>
      </c>
      <c r="L52" s="9">
        <f>IF(D52="","",IFERROR(VLOOKUP(D52,参数!$A$5:$C$24,3,0),""))</f>
        <v/>
      </c>
      <c r="M52" s="21" t="n"/>
      <c r="N52" s="21" t="n"/>
      <c r="O52" s="21" t="n"/>
    </row>
    <row r="53">
      <c r="A53" s="24" t="n"/>
      <c r="B53" s="21" t="n"/>
      <c r="C53" s="21" t="n"/>
      <c r="D53" s="21" t="n"/>
      <c r="E53" s="21" t="n"/>
      <c r="F53" s="28" t="n"/>
      <c r="G53" s="28" t="n"/>
      <c r="H53" s="26" t="n"/>
      <c r="I53" s="10">
        <f>IF(H53&lt;&gt;"",H53,IF(AND(F53&lt;&gt;"",G53&lt;&gt;""),ROUND((G53-F53)*1440,0),""))</f>
        <v/>
      </c>
      <c r="J53" s="26" t="n"/>
      <c r="K53" s="9">
        <f>IF(D53="","",IFERROR(VLOOKUP(D53,参数!$A$5:$C$24,2,0),""))</f>
        <v/>
      </c>
      <c r="L53" s="9">
        <f>IF(D53="","",IFERROR(VLOOKUP(D53,参数!$A$5:$C$24,3,0),""))</f>
        <v/>
      </c>
      <c r="M53" s="21" t="n"/>
      <c r="N53" s="21" t="n"/>
      <c r="O53" s="21" t="n"/>
    </row>
    <row r="54">
      <c r="A54" s="24" t="n"/>
      <c r="B54" s="21" t="n"/>
      <c r="C54" s="21" t="n"/>
      <c r="D54" s="21" t="n"/>
      <c r="E54" s="21" t="n"/>
      <c r="F54" s="28" t="n"/>
      <c r="G54" s="28" t="n"/>
      <c r="H54" s="26" t="n"/>
      <c r="I54" s="10">
        <f>IF(H54&lt;&gt;"",H54,IF(AND(F54&lt;&gt;"",G54&lt;&gt;""),ROUND((G54-F54)*1440,0),""))</f>
        <v/>
      </c>
      <c r="J54" s="26" t="n"/>
      <c r="K54" s="9">
        <f>IF(D54="","",IFERROR(VLOOKUP(D54,参数!$A$5:$C$24,2,0),""))</f>
        <v/>
      </c>
      <c r="L54" s="9">
        <f>IF(D54="","",IFERROR(VLOOKUP(D54,参数!$A$5:$C$24,3,0),""))</f>
        <v/>
      </c>
      <c r="M54" s="21" t="n"/>
      <c r="N54" s="21" t="n"/>
      <c r="O54" s="21" t="n"/>
    </row>
    <row r="55">
      <c r="A55" s="24" t="n"/>
      <c r="B55" s="21" t="n"/>
      <c r="C55" s="21" t="n"/>
      <c r="D55" s="21" t="n"/>
      <c r="E55" s="21" t="n"/>
      <c r="F55" s="28" t="n"/>
      <c r="G55" s="28" t="n"/>
      <c r="H55" s="26" t="n"/>
      <c r="I55" s="10">
        <f>IF(H55&lt;&gt;"",H55,IF(AND(F55&lt;&gt;"",G55&lt;&gt;""),ROUND((G55-F55)*1440,0),""))</f>
        <v/>
      </c>
      <c r="J55" s="26" t="n"/>
      <c r="K55" s="9">
        <f>IF(D55="","",IFERROR(VLOOKUP(D55,参数!$A$5:$C$24,2,0),""))</f>
        <v/>
      </c>
      <c r="L55" s="9">
        <f>IF(D55="","",IFERROR(VLOOKUP(D55,参数!$A$5:$C$24,3,0),""))</f>
        <v/>
      </c>
      <c r="M55" s="21" t="n"/>
      <c r="N55" s="21" t="n"/>
      <c r="O55" s="21" t="n"/>
    </row>
    <row r="56">
      <c r="A56" s="24" t="n"/>
      <c r="B56" s="21" t="n"/>
      <c r="C56" s="21" t="n"/>
      <c r="D56" s="21" t="n"/>
      <c r="E56" s="21" t="n"/>
      <c r="F56" s="28" t="n"/>
      <c r="G56" s="28" t="n"/>
      <c r="H56" s="26" t="n"/>
      <c r="I56" s="10">
        <f>IF(H56&lt;&gt;"",H56,IF(AND(F56&lt;&gt;"",G56&lt;&gt;""),ROUND((G56-F56)*1440,0),""))</f>
        <v/>
      </c>
      <c r="J56" s="26" t="n"/>
      <c r="K56" s="9">
        <f>IF(D56="","",IFERROR(VLOOKUP(D56,参数!$A$5:$C$24,2,0),""))</f>
        <v/>
      </c>
      <c r="L56" s="9">
        <f>IF(D56="","",IFERROR(VLOOKUP(D56,参数!$A$5:$C$24,3,0),""))</f>
        <v/>
      </c>
      <c r="M56" s="21" t="n"/>
      <c r="N56" s="21" t="n"/>
      <c r="O56" s="21" t="n"/>
    </row>
    <row r="57">
      <c r="A57" s="24" t="n"/>
      <c r="B57" s="21" t="n"/>
      <c r="C57" s="21" t="n"/>
      <c r="D57" s="21" t="n"/>
      <c r="E57" s="21" t="n"/>
      <c r="F57" s="28" t="n"/>
      <c r="G57" s="28" t="n"/>
      <c r="H57" s="26" t="n"/>
      <c r="I57" s="10">
        <f>IF(H57&lt;&gt;"",H57,IF(AND(F57&lt;&gt;"",G57&lt;&gt;""),ROUND((G57-F57)*1440,0),""))</f>
        <v/>
      </c>
      <c r="J57" s="26" t="n"/>
      <c r="K57" s="9">
        <f>IF(D57="","",IFERROR(VLOOKUP(D57,参数!$A$5:$C$24,2,0),""))</f>
        <v/>
      </c>
      <c r="L57" s="9">
        <f>IF(D57="","",IFERROR(VLOOKUP(D57,参数!$A$5:$C$24,3,0),""))</f>
        <v/>
      </c>
      <c r="M57" s="21" t="n"/>
      <c r="N57" s="21" t="n"/>
      <c r="O57" s="21" t="n"/>
    </row>
    <row r="58">
      <c r="A58" s="24" t="n"/>
      <c r="B58" s="21" t="n"/>
      <c r="C58" s="21" t="n"/>
      <c r="D58" s="21" t="n"/>
      <c r="E58" s="21" t="n"/>
      <c r="F58" s="28" t="n"/>
      <c r="G58" s="28" t="n"/>
      <c r="H58" s="26" t="n"/>
      <c r="I58" s="10">
        <f>IF(H58&lt;&gt;"",H58,IF(AND(F58&lt;&gt;"",G58&lt;&gt;""),ROUND((G58-F58)*1440,0),""))</f>
        <v/>
      </c>
      <c r="J58" s="26" t="n"/>
      <c r="K58" s="9">
        <f>IF(D58="","",IFERROR(VLOOKUP(D58,参数!$A$5:$C$24,2,0),""))</f>
        <v/>
      </c>
      <c r="L58" s="9">
        <f>IF(D58="","",IFERROR(VLOOKUP(D58,参数!$A$5:$C$24,3,0),""))</f>
        <v/>
      </c>
      <c r="M58" s="21" t="n"/>
      <c r="N58" s="21" t="n"/>
      <c r="O58" s="21" t="n"/>
    </row>
    <row r="59">
      <c r="A59" s="24" t="n"/>
      <c r="B59" s="21" t="n"/>
      <c r="C59" s="21" t="n"/>
      <c r="D59" s="21" t="n"/>
      <c r="E59" s="21" t="n"/>
      <c r="F59" s="28" t="n"/>
      <c r="G59" s="28" t="n"/>
      <c r="H59" s="26" t="n"/>
      <c r="I59" s="10">
        <f>IF(H59&lt;&gt;"",H59,IF(AND(F59&lt;&gt;"",G59&lt;&gt;""),ROUND((G59-F59)*1440,0),""))</f>
        <v/>
      </c>
      <c r="J59" s="26" t="n"/>
      <c r="K59" s="9">
        <f>IF(D59="","",IFERROR(VLOOKUP(D59,参数!$A$5:$C$24,2,0),""))</f>
        <v/>
      </c>
      <c r="L59" s="9">
        <f>IF(D59="","",IFERROR(VLOOKUP(D59,参数!$A$5:$C$24,3,0),""))</f>
        <v/>
      </c>
      <c r="M59" s="21" t="n"/>
      <c r="N59" s="21" t="n"/>
      <c r="O59" s="21" t="n"/>
    </row>
    <row r="60">
      <c r="A60" s="24" t="n"/>
      <c r="B60" s="21" t="n"/>
      <c r="C60" s="21" t="n"/>
      <c r="D60" s="21" t="n"/>
      <c r="E60" s="21" t="n"/>
      <c r="F60" s="28" t="n"/>
      <c r="G60" s="28" t="n"/>
      <c r="H60" s="26" t="n"/>
      <c r="I60" s="10">
        <f>IF(H60&lt;&gt;"",H60,IF(AND(F60&lt;&gt;"",G60&lt;&gt;""),ROUND((G60-F60)*1440,0),""))</f>
        <v/>
      </c>
      <c r="J60" s="26" t="n"/>
      <c r="K60" s="9">
        <f>IF(D60="","",IFERROR(VLOOKUP(D60,参数!$A$5:$C$24,2,0),""))</f>
        <v/>
      </c>
      <c r="L60" s="9">
        <f>IF(D60="","",IFERROR(VLOOKUP(D60,参数!$A$5:$C$24,3,0),""))</f>
        <v/>
      </c>
      <c r="M60" s="21" t="n"/>
      <c r="N60" s="21" t="n"/>
      <c r="O60" s="21" t="n"/>
    </row>
    <row r="61">
      <c r="A61" s="24" t="n"/>
      <c r="B61" s="21" t="n"/>
      <c r="C61" s="21" t="n"/>
      <c r="D61" s="21" t="n"/>
      <c r="E61" s="21" t="n"/>
      <c r="F61" s="28" t="n"/>
      <c r="G61" s="28" t="n"/>
      <c r="H61" s="26" t="n"/>
      <c r="I61" s="10">
        <f>IF(H61&lt;&gt;"",H61,IF(AND(F61&lt;&gt;"",G61&lt;&gt;""),ROUND((G61-F61)*1440,0),""))</f>
        <v/>
      </c>
      <c r="J61" s="26" t="n"/>
      <c r="K61" s="9">
        <f>IF(D61="","",IFERROR(VLOOKUP(D61,参数!$A$5:$C$24,2,0),""))</f>
        <v/>
      </c>
      <c r="L61" s="9">
        <f>IF(D61="","",IFERROR(VLOOKUP(D61,参数!$A$5:$C$24,3,0),""))</f>
        <v/>
      </c>
      <c r="M61" s="21" t="n"/>
      <c r="N61" s="21" t="n"/>
      <c r="O61" s="21" t="n"/>
    </row>
    <row r="62">
      <c r="A62" s="24" t="n"/>
      <c r="B62" s="21" t="n"/>
      <c r="C62" s="21" t="n"/>
      <c r="D62" s="21" t="n"/>
      <c r="E62" s="21" t="n"/>
      <c r="F62" s="28" t="n"/>
      <c r="G62" s="28" t="n"/>
      <c r="H62" s="26" t="n"/>
      <c r="I62" s="10">
        <f>IF(H62&lt;&gt;"",H62,IF(AND(F62&lt;&gt;"",G62&lt;&gt;""),ROUND((G62-F62)*1440,0),""))</f>
        <v/>
      </c>
      <c r="J62" s="26" t="n"/>
      <c r="K62" s="9">
        <f>IF(D62="","",IFERROR(VLOOKUP(D62,参数!$A$5:$C$24,2,0),""))</f>
        <v/>
      </c>
      <c r="L62" s="9">
        <f>IF(D62="","",IFERROR(VLOOKUP(D62,参数!$A$5:$C$24,3,0),""))</f>
        <v/>
      </c>
      <c r="M62" s="21" t="n"/>
      <c r="N62" s="21" t="n"/>
      <c r="O62" s="21" t="n"/>
    </row>
    <row r="63">
      <c r="A63" s="24" t="n"/>
      <c r="B63" s="21" t="n"/>
      <c r="C63" s="21" t="n"/>
      <c r="D63" s="21" t="n"/>
      <c r="E63" s="21" t="n"/>
      <c r="F63" s="28" t="n"/>
      <c r="G63" s="28" t="n"/>
      <c r="H63" s="26" t="n"/>
      <c r="I63" s="10">
        <f>IF(H63&lt;&gt;"",H63,IF(AND(F63&lt;&gt;"",G63&lt;&gt;""),ROUND((G63-F63)*1440,0),""))</f>
        <v/>
      </c>
      <c r="J63" s="26" t="n"/>
      <c r="K63" s="9">
        <f>IF(D63="","",IFERROR(VLOOKUP(D63,参数!$A$5:$C$24,2,0),""))</f>
        <v/>
      </c>
      <c r="L63" s="9">
        <f>IF(D63="","",IFERROR(VLOOKUP(D63,参数!$A$5:$C$24,3,0),""))</f>
        <v/>
      </c>
      <c r="M63" s="21" t="n"/>
      <c r="N63" s="21" t="n"/>
      <c r="O63" s="21" t="n"/>
    </row>
    <row r="64">
      <c r="A64" s="24" t="n"/>
      <c r="B64" s="21" t="n"/>
      <c r="C64" s="21" t="n"/>
      <c r="D64" s="21" t="n"/>
      <c r="E64" s="21" t="n"/>
      <c r="F64" s="28" t="n"/>
      <c r="G64" s="28" t="n"/>
      <c r="H64" s="26" t="n"/>
      <c r="I64" s="10">
        <f>IF(H64&lt;&gt;"",H64,IF(AND(F64&lt;&gt;"",G64&lt;&gt;""),ROUND((G64-F64)*1440,0),""))</f>
        <v/>
      </c>
      <c r="J64" s="26" t="n"/>
      <c r="K64" s="9">
        <f>IF(D64="","",IFERROR(VLOOKUP(D64,参数!$A$5:$C$24,2,0),""))</f>
        <v/>
      </c>
      <c r="L64" s="9">
        <f>IF(D64="","",IFERROR(VLOOKUP(D64,参数!$A$5:$C$24,3,0),""))</f>
        <v/>
      </c>
      <c r="M64" s="21" t="n"/>
      <c r="N64" s="21" t="n"/>
      <c r="O64" s="21" t="n"/>
    </row>
    <row r="65">
      <c r="A65" s="24" t="n"/>
      <c r="B65" s="21" t="n"/>
      <c r="C65" s="21" t="n"/>
      <c r="D65" s="21" t="n"/>
      <c r="E65" s="21" t="n"/>
      <c r="F65" s="28" t="n"/>
      <c r="G65" s="28" t="n"/>
      <c r="H65" s="26" t="n"/>
      <c r="I65" s="10">
        <f>IF(H65&lt;&gt;"",H65,IF(AND(F65&lt;&gt;"",G65&lt;&gt;""),ROUND((G65-F65)*1440,0),""))</f>
        <v/>
      </c>
      <c r="J65" s="26" t="n"/>
      <c r="K65" s="9">
        <f>IF(D65="","",IFERROR(VLOOKUP(D65,参数!$A$5:$C$24,2,0),""))</f>
        <v/>
      </c>
      <c r="L65" s="9">
        <f>IF(D65="","",IFERROR(VLOOKUP(D65,参数!$A$5:$C$24,3,0),""))</f>
        <v/>
      </c>
      <c r="M65" s="21" t="n"/>
      <c r="N65" s="21" t="n"/>
      <c r="O65" s="21" t="n"/>
    </row>
    <row r="66">
      <c r="A66" s="24" t="n"/>
      <c r="B66" s="21" t="n"/>
      <c r="C66" s="21" t="n"/>
      <c r="D66" s="21" t="n"/>
      <c r="E66" s="21" t="n"/>
      <c r="F66" s="28" t="n"/>
      <c r="G66" s="28" t="n"/>
      <c r="H66" s="26" t="n"/>
      <c r="I66" s="10">
        <f>IF(H66&lt;&gt;"",H66,IF(AND(F66&lt;&gt;"",G66&lt;&gt;""),ROUND((G66-F66)*1440,0),""))</f>
        <v/>
      </c>
      <c r="J66" s="26" t="n"/>
      <c r="K66" s="9">
        <f>IF(D66="","",IFERROR(VLOOKUP(D66,参数!$A$5:$C$24,2,0),""))</f>
        <v/>
      </c>
      <c r="L66" s="9">
        <f>IF(D66="","",IFERROR(VLOOKUP(D66,参数!$A$5:$C$24,3,0),""))</f>
        <v/>
      </c>
      <c r="M66" s="21" t="n"/>
      <c r="N66" s="21" t="n"/>
      <c r="O66" s="21" t="n"/>
    </row>
    <row r="67">
      <c r="A67" s="24" t="n"/>
      <c r="B67" s="21" t="n"/>
      <c r="C67" s="21" t="n"/>
      <c r="D67" s="21" t="n"/>
      <c r="E67" s="21" t="n"/>
      <c r="F67" s="28" t="n"/>
      <c r="G67" s="28" t="n"/>
      <c r="H67" s="26" t="n"/>
      <c r="I67" s="10">
        <f>IF(H67&lt;&gt;"",H67,IF(AND(F67&lt;&gt;"",G67&lt;&gt;""),ROUND((G67-F67)*1440,0),""))</f>
        <v/>
      </c>
      <c r="J67" s="26" t="n"/>
      <c r="K67" s="9">
        <f>IF(D67="","",IFERROR(VLOOKUP(D67,参数!$A$5:$C$24,2,0),""))</f>
        <v/>
      </c>
      <c r="L67" s="9">
        <f>IF(D67="","",IFERROR(VLOOKUP(D67,参数!$A$5:$C$24,3,0),""))</f>
        <v/>
      </c>
      <c r="M67" s="21" t="n"/>
      <c r="N67" s="21" t="n"/>
      <c r="O67" s="21" t="n"/>
    </row>
    <row r="68">
      <c r="A68" s="24" t="n"/>
      <c r="B68" s="21" t="n"/>
      <c r="C68" s="21" t="n"/>
      <c r="D68" s="21" t="n"/>
      <c r="E68" s="21" t="n"/>
      <c r="F68" s="28" t="n"/>
      <c r="G68" s="28" t="n"/>
      <c r="H68" s="26" t="n"/>
      <c r="I68" s="10">
        <f>IF(H68&lt;&gt;"",H68,IF(AND(F68&lt;&gt;"",G68&lt;&gt;""),ROUND((G68-F68)*1440,0),""))</f>
        <v/>
      </c>
      <c r="J68" s="26" t="n"/>
      <c r="K68" s="9">
        <f>IF(D68="","",IFERROR(VLOOKUP(D68,参数!$A$5:$C$24,2,0),""))</f>
        <v/>
      </c>
      <c r="L68" s="9">
        <f>IF(D68="","",IFERROR(VLOOKUP(D68,参数!$A$5:$C$24,3,0),""))</f>
        <v/>
      </c>
      <c r="M68" s="21" t="n"/>
      <c r="N68" s="21" t="n"/>
      <c r="O68" s="21" t="n"/>
    </row>
    <row r="69">
      <c r="A69" s="24" t="n"/>
      <c r="B69" s="21" t="n"/>
      <c r="C69" s="21" t="n"/>
      <c r="D69" s="21" t="n"/>
      <c r="E69" s="21" t="n"/>
      <c r="F69" s="28" t="n"/>
      <c r="G69" s="28" t="n"/>
      <c r="H69" s="26" t="n"/>
      <c r="I69" s="10">
        <f>IF(H69&lt;&gt;"",H69,IF(AND(F69&lt;&gt;"",G69&lt;&gt;""),ROUND((G69-F69)*1440,0),""))</f>
        <v/>
      </c>
      <c r="J69" s="26" t="n"/>
      <c r="K69" s="9">
        <f>IF(D69="","",IFERROR(VLOOKUP(D69,参数!$A$5:$C$24,2,0),""))</f>
        <v/>
      </c>
      <c r="L69" s="9">
        <f>IF(D69="","",IFERROR(VLOOKUP(D69,参数!$A$5:$C$24,3,0),""))</f>
        <v/>
      </c>
      <c r="M69" s="21" t="n"/>
      <c r="N69" s="21" t="n"/>
      <c r="O69" s="21" t="n"/>
    </row>
    <row r="70">
      <c r="A70" s="24" t="n"/>
      <c r="B70" s="21" t="n"/>
      <c r="C70" s="21" t="n"/>
      <c r="D70" s="21" t="n"/>
      <c r="E70" s="21" t="n"/>
      <c r="F70" s="28" t="n"/>
      <c r="G70" s="28" t="n"/>
      <c r="H70" s="26" t="n"/>
      <c r="I70" s="10">
        <f>IF(H70&lt;&gt;"",H70,IF(AND(F70&lt;&gt;"",G70&lt;&gt;""),ROUND((G70-F70)*1440,0),""))</f>
        <v/>
      </c>
      <c r="J70" s="26" t="n"/>
      <c r="K70" s="9">
        <f>IF(D70="","",IFERROR(VLOOKUP(D70,参数!$A$5:$C$24,2,0),""))</f>
        <v/>
      </c>
      <c r="L70" s="9">
        <f>IF(D70="","",IFERROR(VLOOKUP(D70,参数!$A$5:$C$24,3,0),""))</f>
        <v/>
      </c>
      <c r="M70" s="21" t="n"/>
      <c r="N70" s="21" t="n"/>
      <c r="O70" s="21" t="n"/>
    </row>
    <row r="71">
      <c r="A71" s="24" t="n"/>
      <c r="B71" s="21" t="n"/>
      <c r="C71" s="21" t="n"/>
      <c r="D71" s="21" t="n"/>
      <c r="E71" s="21" t="n"/>
      <c r="F71" s="28" t="n"/>
      <c r="G71" s="28" t="n"/>
      <c r="H71" s="26" t="n"/>
      <c r="I71" s="10">
        <f>IF(H71&lt;&gt;"",H71,IF(AND(F71&lt;&gt;"",G71&lt;&gt;""),ROUND((G71-F71)*1440,0),""))</f>
        <v/>
      </c>
      <c r="J71" s="26" t="n"/>
      <c r="K71" s="9">
        <f>IF(D71="","",IFERROR(VLOOKUP(D71,参数!$A$5:$C$24,2,0),""))</f>
        <v/>
      </c>
      <c r="L71" s="9">
        <f>IF(D71="","",IFERROR(VLOOKUP(D71,参数!$A$5:$C$24,3,0),""))</f>
        <v/>
      </c>
      <c r="M71" s="21" t="n"/>
      <c r="N71" s="21" t="n"/>
      <c r="O71" s="21" t="n"/>
    </row>
    <row r="72">
      <c r="A72" s="24" t="n"/>
      <c r="B72" s="21" t="n"/>
      <c r="C72" s="21" t="n"/>
      <c r="D72" s="21" t="n"/>
      <c r="E72" s="21" t="n"/>
      <c r="F72" s="28" t="n"/>
      <c r="G72" s="28" t="n"/>
      <c r="H72" s="26" t="n"/>
      <c r="I72" s="10">
        <f>IF(H72&lt;&gt;"",H72,IF(AND(F72&lt;&gt;"",G72&lt;&gt;""),ROUND((G72-F72)*1440,0),""))</f>
        <v/>
      </c>
      <c r="J72" s="26" t="n"/>
      <c r="K72" s="9">
        <f>IF(D72="","",IFERROR(VLOOKUP(D72,参数!$A$5:$C$24,2,0),""))</f>
        <v/>
      </c>
      <c r="L72" s="9">
        <f>IF(D72="","",IFERROR(VLOOKUP(D72,参数!$A$5:$C$24,3,0),""))</f>
        <v/>
      </c>
      <c r="M72" s="21" t="n"/>
      <c r="N72" s="21" t="n"/>
      <c r="O72" s="21" t="n"/>
    </row>
    <row r="73">
      <c r="A73" s="24" t="n"/>
      <c r="B73" s="21" t="n"/>
      <c r="C73" s="21" t="n"/>
      <c r="D73" s="21" t="n"/>
      <c r="E73" s="21" t="n"/>
      <c r="F73" s="28" t="n"/>
      <c r="G73" s="28" t="n"/>
      <c r="H73" s="26" t="n"/>
      <c r="I73" s="10">
        <f>IF(H73&lt;&gt;"",H73,IF(AND(F73&lt;&gt;"",G73&lt;&gt;""),ROUND((G73-F73)*1440,0),""))</f>
        <v/>
      </c>
      <c r="J73" s="26" t="n"/>
      <c r="K73" s="9">
        <f>IF(D73="","",IFERROR(VLOOKUP(D73,参数!$A$5:$C$24,2,0),""))</f>
        <v/>
      </c>
      <c r="L73" s="9">
        <f>IF(D73="","",IFERROR(VLOOKUP(D73,参数!$A$5:$C$24,3,0),""))</f>
        <v/>
      </c>
      <c r="M73" s="21" t="n"/>
      <c r="N73" s="21" t="n"/>
      <c r="O73" s="21" t="n"/>
    </row>
    <row r="74">
      <c r="A74" s="24" t="n"/>
      <c r="B74" s="21" t="n"/>
      <c r="C74" s="21" t="n"/>
      <c r="D74" s="21" t="n"/>
      <c r="E74" s="21" t="n"/>
      <c r="F74" s="28" t="n"/>
      <c r="G74" s="28" t="n"/>
      <c r="H74" s="26" t="n"/>
      <c r="I74" s="10">
        <f>IF(H74&lt;&gt;"",H74,IF(AND(F74&lt;&gt;"",G74&lt;&gt;""),ROUND((G74-F74)*1440,0),""))</f>
        <v/>
      </c>
      <c r="J74" s="26" t="n"/>
      <c r="K74" s="9">
        <f>IF(D74="","",IFERROR(VLOOKUP(D74,参数!$A$5:$C$24,2,0),""))</f>
        <v/>
      </c>
      <c r="L74" s="9">
        <f>IF(D74="","",IFERROR(VLOOKUP(D74,参数!$A$5:$C$24,3,0),""))</f>
        <v/>
      </c>
      <c r="M74" s="21" t="n"/>
      <c r="N74" s="21" t="n"/>
      <c r="O74" s="21" t="n"/>
    </row>
    <row r="75">
      <c r="A75" s="24" t="n"/>
      <c r="B75" s="21" t="n"/>
      <c r="C75" s="21" t="n"/>
      <c r="D75" s="21" t="n"/>
      <c r="E75" s="21" t="n"/>
      <c r="F75" s="28" t="n"/>
      <c r="G75" s="28" t="n"/>
      <c r="H75" s="26" t="n"/>
      <c r="I75" s="10">
        <f>IF(H75&lt;&gt;"",H75,IF(AND(F75&lt;&gt;"",G75&lt;&gt;""),ROUND((G75-F75)*1440,0),""))</f>
        <v/>
      </c>
      <c r="J75" s="26" t="n"/>
      <c r="K75" s="9">
        <f>IF(D75="","",IFERROR(VLOOKUP(D75,参数!$A$5:$C$24,2,0),""))</f>
        <v/>
      </c>
      <c r="L75" s="9">
        <f>IF(D75="","",IFERROR(VLOOKUP(D75,参数!$A$5:$C$24,3,0),""))</f>
        <v/>
      </c>
      <c r="M75" s="21" t="n"/>
      <c r="N75" s="21" t="n"/>
      <c r="O75" s="21" t="n"/>
    </row>
    <row r="76">
      <c r="A76" s="24" t="n"/>
      <c r="B76" s="21" t="n"/>
      <c r="C76" s="21" t="n"/>
      <c r="D76" s="21" t="n"/>
      <c r="E76" s="21" t="n"/>
      <c r="F76" s="28" t="n"/>
      <c r="G76" s="28" t="n"/>
      <c r="H76" s="26" t="n"/>
      <c r="I76" s="10">
        <f>IF(H76&lt;&gt;"",H76,IF(AND(F76&lt;&gt;"",G76&lt;&gt;""),ROUND((G76-F76)*1440,0),""))</f>
        <v/>
      </c>
      <c r="J76" s="26" t="n"/>
      <c r="K76" s="9">
        <f>IF(D76="","",IFERROR(VLOOKUP(D76,参数!$A$5:$C$24,2,0),""))</f>
        <v/>
      </c>
      <c r="L76" s="9">
        <f>IF(D76="","",IFERROR(VLOOKUP(D76,参数!$A$5:$C$24,3,0),""))</f>
        <v/>
      </c>
      <c r="M76" s="21" t="n"/>
      <c r="N76" s="21" t="n"/>
      <c r="O76" s="21" t="n"/>
    </row>
    <row r="77">
      <c r="A77" s="24" t="n"/>
      <c r="B77" s="21" t="n"/>
      <c r="C77" s="21" t="n"/>
      <c r="D77" s="21" t="n"/>
      <c r="E77" s="21" t="n"/>
      <c r="F77" s="28" t="n"/>
      <c r="G77" s="28" t="n"/>
      <c r="H77" s="26" t="n"/>
      <c r="I77" s="10">
        <f>IF(H77&lt;&gt;"",H77,IF(AND(F77&lt;&gt;"",G77&lt;&gt;""),ROUND((G77-F77)*1440,0),""))</f>
        <v/>
      </c>
      <c r="J77" s="26" t="n"/>
      <c r="K77" s="9">
        <f>IF(D77="","",IFERROR(VLOOKUP(D77,参数!$A$5:$C$24,2,0),""))</f>
        <v/>
      </c>
      <c r="L77" s="9">
        <f>IF(D77="","",IFERROR(VLOOKUP(D77,参数!$A$5:$C$24,3,0),""))</f>
        <v/>
      </c>
      <c r="M77" s="21" t="n"/>
      <c r="N77" s="21" t="n"/>
      <c r="O77" s="21" t="n"/>
    </row>
    <row r="78">
      <c r="A78" s="24" t="n"/>
      <c r="B78" s="21" t="n"/>
      <c r="C78" s="21" t="n"/>
      <c r="D78" s="21" t="n"/>
      <c r="E78" s="21" t="n"/>
      <c r="F78" s="28" t="n"/>
      <c r="G78" s="28" t="n"/>
      <c r="H78" s="26" t="n"/>
      <c r="I78" s="10">
        <f>IF(H78&lt;&gt;"",H78,IF(AND(F78&lt;&gt;"",G78&lt;&gt;""),ROUND((G78-F78)*1440,0),""))</f>
        <v/>
      </c>
      <c r="J78" s="26" t="n"/>
      <c r="K78" s="9">
        <f>IF(D78="","",IFERROR(VLOOKUP(D78,参数!$A$5:$C$24,2,0),""))</f>
        <v/>
      </c>
      <c r="L78" s="9">
        <f>IF(D78="","",IFERROR(VLOOKUP(D78,参数!$A$5:$C$24,3,0),""))</f>
        <v/>
      </c>
      <c r="M78" s="21" t="n"/>
      <c r="N78" s="21" t="n"/>
      <c r="O78" s="21" t="n"/>
    </row>
    <row r="79">
      <c r="A79" s="24" t="n"/>
      <c r="B79" s="21" t="n"/>
      <c r="C79" s="21" t="n"/>
      <c r="D79" s="21" t="n"/>
      <c r="E79" s="21" t="n"/>
      <c r="F79" s="28" t="n"/>
      <c r="G79" s="28" t="n"/>
      <c r="H79" s="26" t="n"/>
      <c r="I79" s="10">
        <f>IF(H79&lt;&gt;"",H79,IF(AND(F79&lt;&gt;"",G79&lt;&gt;""),ROUND((G79-F79)*1440,0),""))</f>
        <v/>
      </c>
      <c r="J79" s="26" t="n"/>
      <c r="K79" s="9">
        <f>IF(D79="","",IFERROR(VLOOKUP(D79,参数!$A$5:$C$24,2,0),""))</f>
        <v/>
      </c>
      <c r="L79" s="9">
        <f>IF(D79="","",IFERROR(VLOOKUP(D79,参数!$A$5:$C$24,3,0),""))</f>
        <v/>
      </c>
      <c r="M79" s="21" t="n"/>
      <c r="N79" s="21" t="n"/>
      <c r="O79" s="21" t="n"/>
    </row>
    <row r="80">
      <c r="A80" s="24" t="n"/>
      <c r="B80" s="21" t="n"/>
      <c r="C80" s="21" t="n"/>
      <c r="D80" s="21" t="n"/>
      <c r="E80" s="21" t="n"/>
      <c r="F80" s="28" t="n"/>
      <c r="G80" s="28" t="n"/>
      <c r="H80" s="26" t="n"/>
      <c r="I80" s="10">
        <f>IF(H80&lt;&gt;"",H80,IF(AND(F80&lt;&gt;"",G80&lt;&gt;""),ROUND((G80-F80)*1440,0),""))</f>
        <v/>
      </c>
      <c r="J80" s="26" t="n"/>
      <c r="K80" s="9">
        <f>IF(D80="","",IFERROR(VLOOKUP(D80,参数!$A$5:$C$24,2,0),""))</f>
        <v/>
      </c>
      <c r="L80" s="9">
        <f>IF(D80="","",IFERROR(VLOOKUP(D80,参数!$A$5:$C$24,3,0),""))</f>
        <v/>
      </c>
      <c r="M80" s="21" t="n"/>
      <c r="N80" s="21" t="n"/>
      <c r="O80" s="21" t="n"/>
    </row>
    <row r="81">
      <c r="A81" s="24" t="n"/>
      <c r="B81" s="21" t="n"/>
      <c r="C81" s="21" t="n"/>
      <c r="D81" s="21" t="n"/>
      <c r="E81" s="21" t="n"/>
      <c r="F81" s="28" t="n"/>
      <c r="G81" s="28" t="n"/>
      <c r="H81" s="26" t="n"/>
      <c r="I81" s="10">
        <f>IF(H81&lt;&gt;"",H81,IF(AND(F81&lt;&gt;"",G81&lt;&gt;""),ROUND((G81-F81)*1440,0),""))</f>
        <v/>
      </c>
      <c r="J81" s="26" t="n"/>
      <c r="K81" s="9">
        <f>IF(D81="","",IFERROR(VLOOKUP(D81,参数!$A$5:$C$24,2,0),""))</f>
        <v/>
      </c>
      <c r="L81" s="9">
        <f>IF(D81="","",IFERROR(VLOOKUP(D81,参数!$A$5:$C$24,3,0),""))</f>
        <v/>
      </c>
      <c r="M81" s="21" t="n"/>
      <c r="N81" s="21" t="n"/>
      <c r="O81" s="21" t="n"/>
    </row>
    <row r="82">
      <c r="A82" s="24" t="n"/>
      <c r="B82" s="21" t="n"/>
      <c r="C82" s="21" t="n"/>
      <c r="D82" s="21" t="n"/>
      <c r="E82" s="21" t="n"/>
      <c r="F82" s="28" t="n"/>
      <c r="G82" s="28" t="n"/>
      <c r="H82" s="26" t="n"/>
      <c r="I82" s="10">
        <f>IF(H82&lt;&gt;"",H82,IF(AND(F82&lt;&gt;"",G82&lt;&gt;""),ROUND((G82-F82)*1440,0),""))</f>
        <v/>
      </c>
      <c r="J82" s="26" t="n"/>
      <c r="K82" s="9">
        <f>IF(D82="","",IFERROR(VLOOKUP(D82,参数!$A$5:$C$24,2,0),""))</f>
        <v/>
      </c>
      <c r="L82" s="9">
        <f>IF(D82="","",IFERROR(VLOOKUP(D82,参数!$A$5:$C$24,3,0),""))</f>
        <v/>
      </c>
      <c r="M82" s="21" t="n"/>
      <c r="N82" s="21" t="n"/>
      <c r="O82" s="21" t="n"/>
    </row>
    <row r="83">
      <c r="A83" s="24" t="n"/>
      <c r="B83" s="21" t="n"/>
      <c r="C83" s="21" t="n"/>
      <c r="D83" s="21" t="n"/>
      <c r="E83" s="21" t="n"/>
      <c r="F83" s="28" t="n"/>
      <c r="G83" s="28" t="n"/>
      <c r="H83" s="26" t="n"/>
      <c r="I83" s="10">
        <f>IF(H83&lt;&gt;"",H83,IF(AND(F83&lt;&gt;"",G83&lt;&gt;""),ROUND((G83-F83)*1440,0),""))</f>
        <v/>
      </c>
      <c r="J83" s="26" t="n"/>
      <c r="K83" s="9">
        <f>IF(D83="","",IFERROR(VLOOKUP(D83,参数!$A$5:$C$24,2,0),""))</f>
        <v/>
      </c>
      <c r="L83" s="9">
        <f>IF(D83="","",IFERROR(VLOOKUP(D83,参数!$A$5:$C$24,3,0),""))</f>
        <v/>
      </c>
      <c r="M83" s="21" t="n"/>
      <c r="N83" s="21" t="n"/>
      <c r="O83" s="21" t="n"/>
    </row>
    <row r="84">
      <c r="A84" s="24" t="n"/>
      <c r="B84" s="21" t="n"/>
      <c r="C84" s="21" t="n"/>
      <c r="D84" s="21" t="n"/>
      <c r="E84" s="21" t="n"/>
      <c r="F84" s="28" t="n"/>
      <c r="G84" s="28" t="n"/>
      <c r="H84" s="26" t="n"/>
      <c r="I84" s="10">
        <f>IF(H84&lt;&gt;"",H84,IF(AND(F84&lt;&gt;"",G84&lt;&gt;""),ROUND((G84-F84)*1440,0),""))</f>
        <v/>
      </c>
      <c r="J84" s="26" t="n"/>
      <c r="K84" s="9">
        <f>IF(D84="","",IFERROR(VLOOKUP(D84,参数!$A$5:$C$24,2,0),""))</f>
        <v/>
      </c>
      <c r="L84" s="9">
        <f>IF(D84="","",IFERROR(VLOOKUP(D84,参数!$A$5:$C$24,3,0),""))</f>
        <v/>
      </c>
      <c r="M84" s="21" t="n"/>
      <c r="N84" s="21" t="n"/>
      <c r="O84" s="21" t="n"/>
    </row>
    <row r="85">
      <c r="A85" s="24" t="n"/>
      <c r="B85" s="21" t="n"/>
      <c r="C85" s="21" t="n"/>
      <c r="D85" s="21" t="n"/>
      <c r="E85" s="21" t="n"/>
      <c r="F85" s="28" t="n"/>
      <c r="G85" s="28" t="n"/>
      <c r="H85" s="26" t="n"/>
      <c r="I85" s="10">
        <f>IF(H85&lt;&gt;"",H85,IF(AND(F85&lt;&gt;"",G85&lt;&gt;""),ROUND((G85-F85)*1440,0),""))</f>
        <v/>
      </c>
      <c r="J85" s="26" t="n"/>
      <c r="K85" s="9">
        <f>IF(D85="","",IFERROR(VLOOKUP(D85,参数!$A$5:$C$24,2,0),""))</f>
        <v/>
      </c>
      <c r="L85" s="9">
        <f>IF(D85="","",IFERROR(VLOOKUP(D85,参数!$A$5:$C$24,3,0),""))</f>
        <v/>
      </c>
      <c r="M85" s="21" t="n"/>
      <c r="N85" s="21" t="n"/>
      <c r="O85" s="21" t="n"/>
    </row>
    <row r="86">
      <c r="A86" s="24" t="n"/>
      <c r="B86" s="21" t="n"/>
      <c r="C86" s="21" t="n"/>
      <c r="D86" s="21" t="n"/>
      <c r="E86" s="21" t="n"/>
      <c r="F86" s="28" t="n"/>
      <c r="G86" s="28" t="n"/>
      <c r="H86" s="26" t="n"/>
      <c r="I86" s="10">
        <f>IF(H86&lt;&gt;"",H86,IF(AND(F86&lt;&gt;"",G86&lt;&gt;""),ROUND((G86-F86)*1440,0),""))</f>
        <v/>
      </c>
      <c r="J86" s="26" t="n"/>
      <c r="K86" s="9">
        <f>IF(D86="","",IFERROR(VLOOKUP(D86,参数!$A$5:$C$24,2,0),""))</f>
        <v/>
      </c>
      <c r="L86" s="9">
        <f>IF(D86="","",IFERROR(VLOOKUP(D86,参数!$A$5:$C$24,3,0),""))</f>
        <v/>
      </c>
      <c r="M86" s="21" t="n"/>
      <c r="N86" s="21" t="n"/>
      <c r="O86" s="21" t="n"/>
    </row>
    <row r="87">
      <c r="A87" s="24" t="n"/>
      <c r="B87" s="21" t="n"/>
      <c r="C87" s="21" t="n"/>
      <c r="D87" s="21" t="n"/>
      <c r="E87" s="21" t="n"/>
      <c r="F87" s="28" t="n"/>
      <c r="G87" s="28" t="n"/>
      <c r="H87" s="26" t="n"/>
      <c r="I87" s="10">
        <f>IF(H87&lt;&gt;"",H87,IF(AND(F87&lt;&gt;"",G87&lt;&gt;""),ROUND((G87-F87)*1440,0),""))</f>
        <v/>
      </c>
      <c r="J87" s="26" t="n"/>
      <c r="K87" s="9">
        <f>IF(D87="","",IFERROR(VLOOKUP(D87,参数!$A$5:$C$24,2,0),""))</f>
        <v/>
      </c>
      <c r="L87" s="9">
        <f>IF(D87="","",IFERROR(VLOOKUP(D87,参数!$A$5:$C$24,3,0),""))</f>
        <v/>
      </c>
      <c r="M87" s="21" t="n"/>
      <c r="N87" s="21" t="n"/>
      <c r="O87" s="21" t="n"/>
    </row>
    <row r="88">
      <c r="A88" s="24" t="n"/>
      <c r="B88" s="21" t="n"/>
      <c r="C88" s="21" t="n"/>
      <c r="D88" s="21" t="n"/>
      <c r="E88" s="21" t="n"/>
      <c r="F88" s="28" t="n"/>
      <c r="G88" s="28" t="n"/>
      <c r="H88" s="26" t="n"/>
      <c r="I88" s="10">
        <f>IF(H88&lt;&gt;"",H88,IF(AND(F88&lt;&gt;"",G88&lt;&gt;""),ROUND((G88-F88)*1440,0),""))</f>
        <v/>
      </c>
      <c r="J88" s="26" t="n"/>
      <c r="K88" s="9">
        <f>IF(D88="","",IFERROR(VLOOKUP(D88,参数!$A$5:$C$24,2,0),""))</f>
        <v/>
      </c>
      <c r="L88" s="9">
        <f>IF(D88="","",IFERROR(VLOOKUP(D88,参数!$A$5:$C$24,3,0),""))</f>
        <v/>
      </c>
      <c r="M88" s="21" t="n"/>
      <c r="N88" s="21" t="n"/>
      <c r="O88" s="21" t="n"/>
    </row>
    <row r="89">
      <c r="A89" s="24" t="n"/>
      <c r="B89" s="21" t="n"/>
      <c r="C89" s="21" t="n"/>
      <c r="D89" s="21" t="n"/>
      <c r="E89" s="21" t="n"/>
      <c r="F89" s="28" t="n"/>
      <c r="G89" s="28" t="n"/>
      <c r="H89" s="26" t="n"/>
      <c r="I89" s="10">
        <f>IF(H89&lt;&gt;"",H89,IF(AND(F89&lt;&gt;"",G89&lt;&gt;""),ROUND((G89-F89)*1440,0),""))</f>
        <v/>
      </c>
      <c r="J89" s="26" t="n"/>
      <c r="K89" s="9">
        <f>IF(D89="","",IFERROR(VLOOKUP(D89,参数!$A$5:$C$24,2,0),""))</f>
        <v/>
      </c>
      <c r="L89" s="9">
        <f>IF(D89="","",IFERROR(VLOOKUP(D89,参数!$A$5:$C$24,3,0),""))</f>
        <v/>
      </c>
      <c r="M89" s="21" t="n"/>
      <c r="N89" s="21" t="n"/>
      <c r="O89" s="21" t="n"/>
    </row>
    <row r="90">
      <c r="A90" s="24" t="n"/>
      <c r="B90" s="21" t="n"/>
      <c r="C90" s="21" t="n"/>
      <c r="D90" s="21" t="n"/>
      <c r="E90" s="21" t="n"/>
      <c r="F90" s="28" t="n"/>
      <c r="G90" s="28" t="n"/>
      <c r="H90" s="26" t="n"/>
      <c r="I90" s="10">
        <f>IF(H90&lt;&gt;"",H90,IF(AND(F90&lt;&gt;"",G90&lt;&gt;""),ROUND((G90-F90)*1440,0),""))</f>
        <v/>
      </c>
      <c r="J90" s="26" t="n"/>
      <c r="K90" s="9">
        <f>IF(D90="","",IFERROR(VLOOKUP(D90,参数!$A$5:$C$24,2,0),""))</f>
        <v/>
      </c>
      <c r="L90" s="9">
        <f>IF(D90="","",IFERROR(VLOOKUP(D90,参数!$A$5:$C$24,3,0),""))</f>
        <v/>
      </c>
      <c r="M90" s="21" t="n"/>
      <c r="N90" s="21" t="n"/>
      <c r="O90" s="21" t="n"/>
    </row>
    <row r="91">
      <c r="A91" s="24" t="n"/>
      <c r="B91" s="21" t="n"/>
      <c r="C91" s="21" t="n"/>
      <c r="D91" s="21" t="n"/>
      <c r="E91" s="21" t="n"/>
      <c r="F91" s="28" t="n"/>
      <c r="G91" s="28" t="n"/>
      <c r="H91" s="26" t="n"/>
      <c r="I91" s="10">
        <f>IF(H91&lt;&gt;"",H91,IF(AND(F91&lt;&gt;"",G91&lt;&gt;""),ROUND((G91-F91)*1440,0),""))</f>
        <v/>
      </c>
      <c r="J91" s="26" t="n"/>
      <c r="K91" s="9">
        <f>IF(D91="","",IFERROR(VLOOKUP(D91,参数!$A$5:$C$24,2,0),""))</f>
        <v/>
      </c>
      <c r="L91" s="9">
        <f>IF(D91="","",IFERROR(VLOOKUP(D91,参数!$A$5:$C$24,3,0),""))</f>
        <v/>
      </c>
      <c r="M91" s="21" t="n"/>
      <c r="N91" s="21" t="n"/>
      <c r="O91" s="21" t="n"/>
    </row>
    <row r="92">
      <c r="A92" s="24" t="n"/>
      <c r="B92" s="21" t="n"/>
      <c r="C92" s="21" t="n"/>
      <c r="D92" s="21" t="n"/>
      <c r="E92" s="21" t="n"/>
      <c r="F92" s="28" t="n"/>
      <c r="G92" s="28" t="n"/>
      <c r="H92" s="26" t="n"/>
      <c r="I92" s="10">
        <f>IF(H92&lt;&gt;"",H92,IF(AND(F92&lt;&gt;"",G92&lt;&gt;""),ROUND((G92-F92)*1440,0),""))</f>
        <v/>
      </c>
      <c r="J92" s="26" t="n"/>
      <c r="K92" s="9">
        <f>IF(D92="","",IFERROR(VLOOKUP(D92,参数!$A$5:$C$24,2,0),""))</f>
        <v/>
      </c>
      <c r="L92" s="9">
        <f>IF(D92="","",IFERROR(VLOOKUP(D92,参数!$A$5:$C$24,3,0),""))</f>
        <v/>
      </c>
      <c r="M92" s="21" t="n"/>
      <c r="N92" s="21" t="n"/>
      <c r="O92" s="21" t="n"/>
    </row>
    <row r="93">
      <c r="A93" s="24" t="n"/>
      <c r="B93" s="21" t="n"/>
      <c r="C93" s="21" t="n"/>
      <c r="D93" s="21" t="n"/>
      <c r="E93" s="21" t="n"/>
      <c r="F93" s="28" t="n"/>
      <c r="G93" s="28" t="n"/>
      <c r="H93" s="26" t="n"/>
      <c r="I93" s="10">
        <f>IF(H93&lt;&gt;"",H93,IF(AND(F93&lt;&gt;"",G93&lt;&gt;""),ROUND((G93-F93)*1440,0),""))</f>
        <v/>
      </c>
      <c r="J93" s="26" t="n"/>
      <c r="K93" s="9">
        <f>IF(D93="","",IFERROR(VLOOKUP(D93,参数!$A$5:$C$24,2,0),""))</f>
        <v/>
      </c>
      <c r="L93" s="9">
        <f>IF(D93="","",IFERROR(VLOOKUP(D93,参数!$A$5:$C$24,3,0),""))</f>
        <v/>
      </c>
      <c r="M93" s="21" t="n"/>
      <c r="N93" s="21" t="n"/>
      <c r="O93" s="21" t="n"/>
    </row>
    <row r="94">
      <c r="A94" s="24" t="n"/>
      <c r="B94" s="21" t="n"/>
      <c r="C94" s="21" t="n"/>
      <c r="D94" s="21" t="n"/>
      <c r="E94" s="21" t="n"/>
      <c r="F94" s="28" t="n"/>
      <c r="G94" s="28" t="n"/>
      <c r="H94" s="26" t="n"/>
      <c r="I94" s="10">
        <f>IF(H94&lt;&gt;"",H94,IF(AND(F94&lt;&gt;"",G94&lt;&gt;""),ROUND((G94-F94)*1440,0),""))</f>
        <v/>
      </c>
      <c r="J94" s="26" t="n"/>
      <c r="K94" s="9">
        <f>IF(D94="","",IFERROR(VLOOKUP(D94,参数!$A$5:$C$24,2,0),""))</f>
        <v/>
      </c>
      <c r="L94" s="9">
        <f>IF(D94="","",IFERROR(VLOOKUP(D94,参数!$A$5:$C$24,3,0),""))</f>
        <v/>
      </c>
      <c r="M94" s="21" t="n"/>
      <c r="N94" s="21" t="n"/>
      <c r="O94" s="21" t="n"/>
    </row>
    <row r="95">
      <c r="A95" s="24" t="n"/>
      <c r="B95" s="21" t="n"/>
      <c r="C95" s="21" t="n"/>
      <c r="D95" s="21" t="n"/>
      <c r="E95" s="21" t="n"/>
      <c r="F95" s="28" t="n"/>
      <c r="G95" s="28" t="n"/>
      <c r="H95" s="26" t="n"/>
      <c r="I95" s="10">
        <f>IF(H95&lt;&gt;"",H95,IF(AND(F95&lt;&gt;"",G95&lt;&gt;""),ROUND((G95-F95)*1440,0),""))</f>
        <v/>
      </c>
      <c r="J95" s="26" t="n"/>
      <c r="K95" s="9">
        <f>IF(D95="","",IFERROR(VLOOKUP(D95,参数!$A$5:$C$24,2,0),""))</f>
        <v/>
      </c>
      <c r="L95" s="9">
        <f>IF(D95="","",IFERROR(VLOOKUP(D95,参数!$A$5:$C$24,3,0),""))</f>
        <v/>
      </c>
      <c r="M95" s="21" t="n"/>
      <c r="N95" s="21" t="n"/>
      <c r="O95" s="21" t="n"/>
    </row>
    <row r="96">
      <c r="A96" s="24" t="n"/>
      <c r="B96" s="21" t="n"/>
      <c r="C96" s="21" t="n"/>
      <c r="D96" s="21" t="n"/>
      <c r="E96" s="21" t="n"/>
      <c r="F96" s="28" t="n"/>
      <c r="G96" s="28" t="n"/>
      <c r="H96" s="26" t="n"/>
      <c r="I96" s="10">
        <f>IF(H96&lt;&gt;"",H96,IF(AND(F96&lt;&gt;"",G96&lt;&gt;""),ROUND((G96-F96)*1440,0),""))</f>
        <v/>
      </c>
      <c r="J96" s="26" t="n"/>
      <c r="K96" s="9">
        <f>IF(D96="","",IFERROR(VLOOKUP(D96,参数!$A$5:$C$24,2,0),""))</f>
        <v/>
      </c>
      <c r="L96" s="9">
        <f>IF(D96="","",IFERROR(VLOOKUP(D96,参数!$A$5:$C$24,3,0),""))</f>
        <v/>
      </c>
      <c r="M96" s="21" t="n"/>
      <c r="N96" s="21" t="n"/>
      <c r="O96" s="21" t="n"/>
    </row>
    <row r="97">
      <c r="A97" s="24" t="n"/>
      <c r="B97" s="21" t="n"/>
      <c r="C97" s="21" t="n"/>
      <c r="D97" s="21" t="n"/>
      <c r="E97" s="21" t="n"/>
      <c r="F97" s="28" t="n"/>
      <c r="G97" s="28" t="n"/>
      <c r="H97" s="26" t="n"/>
      <c r="I97" s="10">
        <f>IF(H97&lt;&gt;"",H97,IF(AND(F97&lt;&gt;"",G97&lt;&gt;""),ROUND((G97-F97)*1440,0),""))</f>
        <v/>
      </c>
      <c r="J97" s="26" t="n"/>
      <c r="K97" s="9">
        <f>IF(D97="","",IFERROR(VLOOKUP(D97,参数!$A$5:$C$24,2,0),""))</f>
        <v/>
      </c>
      <c r="L97" s="9">
        <f>IF(D97="","",IFERROR(VLOOKUP(D97,参数!$A$5:$C$24,3,0),""))</f>
        <v/>
      </c>
      <c r="M97" s="21" t="n"/>
      <c r="N97" s="21" t="n"/>
      <c r="O97" s="21" t="n"/>
    </row>
    <row r="98">
      <c r="A98" s="24" t="n"/>
      <c r="B98" s="21" t="n"/>
      <c r="C98" s="21" t="n"/>
      <c r="D98" s="21" t="n"/>
      <c r="E98" s="21" t="n"/>
      <c r="F98" s="28" t="n"/>
      <c r="G98" s="28" t="n"/>
      <c r="H98" s="26" t="n"/>
      <c r="I98" s="10">
        <f>IF(H98&lt;&gt;"",H98,IF(AND(F98&lt;&gt;"",G98&lt;&gt;""),ROUND((G98-F98)*1440,0),""))</f>
        <v/>
      </c>
      <c r="J98" s="26" t="n"/>
      <c r="K98" s="9">
        <f>IF(D98="","",IFERROR(VLOOKUP(D98,参数!$A$5:$C$24,2,0),""))</f>
        <v/>
      </c>
      <c r="L98" s="9">
        <f>IF(D98="","",IFERROR(VLOOKUP(D98,参数!$A$5:$C$24,3,0),""))</f>
        <v/>
      </c>
      <c r="M98" s="21" t="n"/>
      <c r="N98" s="21" t="n"/>
      <c r="O98" s="21" t="n"/>
    </row>
    <row r="99">
      <c r="A99" s="24" t="n"/>
      <c r="B99" s="21" t="n"/>
      <c r="C99" s="21" t="n"/>
      <c r="D99" s="21" t="n"/>
      <c r="E99" s="21" t="n"/>
      <c r="F99" s="28" t="n"/>
      <c r="G99" s="28" t="n"/>
      <c r="H99" s="26" t="n"/>
      <c r="I99" s="10">
        <f>IF(H99&lt;&gt;"",H99,IF(AND(F99&lt;&gt;"",G99&lt;&gt;""),ROUND((G99-F99)*1440,0),""))</f>
        <v/>
      </c>
      <c r="J99" s="26" t="n"/>
      <c r="K99" s="9">
        <f>IF(D99="","",IFERROR(VLOOKUP(D99,参数!$A$5:$C$24,2,0),""))</f>
        <v/>
      </c>
      <c r="L99" s="9">
        <f>IF(D99="","",IFERROR(VLOOKUP(D99,参数!$A$5:$C$24,3,0),""))</f>
        <v/>
      </c>
      <c r="M99" s="21" t="n"/>
      <c r="N99" s="21" t="n"/>
      <c r="O99" s="21" t="n"/>
    </row>
    <row r="100">
      <c r="A100" s="24" t="n"/>
      <c r="B100" s="21" t="n"/>
      <c r="C100" s="21" t="n"/>
      <c r="D100" s="21" t="n"/>
      <c r="E100" s="21" t="n"/>
      <c r="F100" s="28" t="n"/>
      <c r="G100" s="28" t="n"/>
      <c r="H100" s="26" t="n"/>
      <c r="I100" s="10">
        <f>IF(H100&lt;&gt;"",H100,IF(AND(F100&lt;&gt;"",G100&lt;&gt;""),ROUND((G100-F100)*1440,0),""))</f>
        <v/>
      </c>
      <c r="J100" s="26" t="n"/>
      <c r="K100" s="9">
        <f>IF(D100="","",IFERROR(VLOOKUP(D100,参数!$A$5:$C$24,2,0),""))</f>
        <v/>
      </c>
      <c r="L100" s="9">
        <f>IF(D100="","",IFERROR(VLOOKUP(D100,参数!$A$5:$C$24,3,0),""))</f>
        <v/>
      </c>
      <c r="M100" s="21" t="n"/>
      <c r="N100" s="21" t="n"/>
      <c r="O100" s="21" t="n"/>
    </row>
    <row r="101">
      <c r="A101" s="24" t="n"/>
      <c r="B101" s="21" t="n"/>
      <c r="C101" s="21" t="n"/>
      <c r="D101" s="21" t="n"/>
      <c r="E101" s="21" t="n"/>
      <c r="F101" s="28" t="n"/>
      <c r="G101" s="28" t="n"/>
      <c r="H101" s="26" t="n"/>
      <c r="I101" s="10">
        <f>IF(H101&lt;&gt;"",H101,IF(AND(F101&lt;&gt;"",G101&lt;&gt;""),ROUND((G101-F101)*1440,0),""))</f>
        <v/>
      </c>
      <c r="J101" s="26" t="n"/>
      <c r="K101" s="9">
        <f>IF(D101="","",IFERROR(VLOOKUP(D101,参数!$A$5:$C$24,2,0),""))</f>
        <v/>
      </c>
      <c r="L101" s="9">
        <f>IF(D101="","",IFERROR(VLOOKUP(D101,参数!$A$5:$C$24,3,0),""))</f>
        <v/>
      </c>
      <c r="M101" s="21" t="n"/>
      <c r="N101" s="21" t="n"/>
      <c r="O101" s="21" t="n"/>
    </row>
    <row r="102">
      <c r="A102" s="24" t="n"/>
      <c r="B102" s="21" t="n"/>
      <c r="C102" s="21" t="n"/>
      <c r="D102" s="21" t="n"/>
      <c r="E102" s="21" t="n"/>
      <c r="F102" s="28" t="n"/>
      <c r="G102" s="28" t="n"/>
      <c r="H102" s="26" t="n"/>
      <c r="I102" s="10">
        <f>IF(H102&lt;&gt;"",H102,IF(AND(F102&lt;&gt;"",G102&lt;&gt;""),ROUND((G102-F102)*1440,0),""))</f>
        <v/>
      </c>
      <c r="J102" s="26" t="n"/>
      <c r="K102" s="9">
        <f>IF(D102="","",IFERROR(VLOOKUP(D102,参数!$A$5:$C$24,2,0),""))</f>
        <v/>
      </c>
      <c r="L102" s="9">
        <f>IF(D102="","",IFERROR(VLOOKUP(D102,参数!$A$5:$C$24,3,0),""))</f>
        <v/>
      </c>
      <c r="M102" s="21" t="n"/>
      <c r="N102" s="21" t="n"/>
      <c r="O102" s="21" t="n"/>
    </row>
    <row r="103">
      <c r="A103" s="24" t="n"/>
      <c r="B103" s="21" t="n"/>
      <c r="C103" s="21" t="n"/>
      <c r="D103" s="21" t="n"/>
      <c r="E103" s="21" t="n"/>
      <c r="F103" s="28" t="n"/>
      <c r="G103" s="28" t="n"/>
      <c r="H103" s="26" t="n"/>
      <c r="I103" s="10">
        <f>IF(H103&lt;&gt;"",H103,IF(AND(F103&lt;&gt;"",G103&lt;&gt;""),ROUND((G103-F103)*1440,0),""))</f>
        <v/>
      </c>
      <c r="J103" s="26" t="n"/>
      <c r="K103" s="9">
        <f>IF(D103="","",IFERROR(VLOOKUP(D103,参数!$A$5:$C$24,2,0),""))</f>
        <v/>
      </c>
      <c r="L103" s="9">
        <f>IF(D103="","",IFERROR(VLOOKUP(D103,参数!$A$5:$C$24,3,0),""))</f>
        <v/>
      </c>
      <c r="M103" s="21" t="n"/>
      <c r="N103" s="21" t="n"/>
      <c r="O103" s="21" t="n"/>
    </row>
    <row r="104">
      <c r="A104" s="24" t="n"/>
      <c r="B104" s="21" t="n"/>
      <c r="C104" s="21" t="n"/>
      <c r="D104" s="21" t="n"/>
      <c r="E104" s="21" t="n"/>
      <c r="F104" s="28" t="n"/>
      <c r="G104" s="28" t="n"/>
      <c r="H104" s="26" t="n"/>
      <c r="I104" s="10">
        <f>IF(H104&lt;&gt;"",H104,IF(AND(F104&lt;&gt;"",G104&lt;&gt;""),ROUND((G104-F104)*1440,0),""))</f>
        <v/>
      </c>
      <c r="J104" s="26" t="n"/>
      <c r="K104" s="9">
        <f>IF(D104="","",IFERROR(VLOOKUP(D104,参数!$A$5:$C$24,2,0),""))</f>
        <v/>
      </c>
      <c r="L104" s="9">
        <f>IF(D104="","",IFERROR(VLOOKUP(D104,参数!$A$5:$C$24,3,0),""))</f>
        <v/>
      </c>
      <c r="M104" s="21" t="n"/>
      <c r="N104" s="21" t="n"/>
      <c r="O104" s="21" t="n"/>
    </row>
    <row r="105">
      <c r="A105" s="24" t="n"/>
      <c r="B105" s="21" t="n"/>
      <c r="C105" s="21" t="n"/>
      <c r="D105" s="21" t="n"/>
      <c r="E105" s="21" t="n"/>
      <c r="F105" s="28" t="n"/>
      <c r="G105" s="28" t="n"/>
      <c r="H105" s="26" t="n"/>
      <c r="I105" s="10">
        <f>IF(H105&lt;&gt;"",H105,IF(AND(F105&lt;&gt;"",G105&lt;&gt;""),ROUND((G105-F105)*1440,0),""))</f>
        <v/>
      </c>
      <c r="J105" s="26" t="n"/>
      <c r="K105" s="9">
        <f>IF(D105="","",IFERROR(VLOOKUP(D105,参数!$A$5:$C$24,2,0),""))</f>
        <v/>
      </c>
      <c r="L105" s="9">
        <f>IF(D105="","",IFERROR(VLOOKUP(D105,参数!$A$5:$C$24,3,0),""))</f>
        <v/>
      </c>
      <c r="M105" s="21" t="n"/>
      <c r="N105" s="21" t="n"/>
      <c r="O105" s="21" t="n"/>
    </row>
    <row r="106">
      <c r="A106" s="24" t="n"/>
      <c r="B106" s="21" t="n"/>
      <c r="C106" s="21" t="n"/>
      <c r="D106" s="21" t="n"/>
      <c r="E106" s="21" t="n"/>
      <c r="F106" s="28" t="n"/>
      <c r="G106" s="28" t="n"/>
      <c r="H106" s="26" t="n"/>
      <c r="I106" s="10">
        <f>IF(H106&lt;&gt;"",H106,IF(AND(F106&lt;&gt;"",G106&lt;&gt;""),ROUND((G106-F106)*1440,0),""))</f>
        <v/>
      </c>
      <c r="J106" s="26" t="n"/>
      <c r="K106" s="9">
        <f>IF(D106="","",IFERROR(VLOOKUP(D106,参数!$A$5:$C$24,2,0),""))</f>
        <v/>
      </c>
      <c r="L106" s="9">
        <f>IF(D106="","",IFERROR(VLOOKUP(D106,参数!$A$5:$C$24,3,0),""))</f>
        <v/>
      </c>
      <c r="M106" s="21" t="n"/>
      <c r="N106" s="21" t="n"/>
      <c r="O106" s="21" t="n"/>
    </row>
    <row r="107">
      <c r="A107" s="24" t="n"/>
      <c r="B107" s="21" t="n"/>
      <c r="C107" s="21" t="n"/>
      <c r="D107" s="21" t="n"/>
      <c r="E107" s="21" t="n"/>
      <c r="F107" s="28" t="n"/>
      <c r="G107" s="28" t="n"/>
      <c r="H107" s="26" t="n"/>
      <c r="I107" s="10">
        <f>IF(H107&lt;&gt;"",H107,IF(AND(F107&lt;&gt;"",G107&lt;&gt;""),ROUND((G107-F107)*1440,0),""))</f>
        <v/>
      </c>
      <c r="J107" s="26" t="n"/>
      <c r="K107" s="9">
        <f>IF(D107="","",IFERROR(VLOOKUP(D107,参数!$A$5:$C$24,2,0),""))</f>
        <v/>
      </c>
      <c r="L107" s="9">
        <f>IF(D107="","",IFERROR(VLOOKUP(D107,参数!$A$5:$C$24,3,0),""))</f>
        <v/>
      </c>
      <c r="M107" s="21" t="n"/>
      <c r="N107" s="21" t="n"/>
      <c r="O107" s="21" t="n"/>
    </row>
    <row r="108">
      <c r="A108" s="24" t="n"/>
      <c r="B108" s="21" t="n"/>
      <c r="C108" s="21" t="n"/>
      <c r="D108" s="21" t="n"/>
      <c r="E108" s="21" t="n"/>
      <c r="F108" s="28" t="n"/>
      <c r="G108" s="28" t="n"/>
      <c r="H108" s="26" t="n"/>
      <c r="I108" s="10">
        <f>IF(H108&lt;&gt;"",H108,IF(AND(F108&lt;&gt;"",G108&lt;&gt;""),ROUND((G108-F108)*1440,0),""))</f>
        <v/>
      </c>
      <c r="J108" s="26" t="n"/>
      <c r="K108" s="9">
        <f>IF(D108="","",IFERROR(VLOOKUP(D108,参数!$A$5:$C$24,2,0),""))</f>
        <v/>
      </c>
      <c r="L108" s="9">
        <f>IF(D108="","",IFERROR(VLOOKUP(D108,参数!$A$5:$C$24,3,0),""))</f>
        <v/>
      </c>
      <c r="M108" s="21" t="n"/>
      <c r="N108" s="21" t="n"/>
      <c r="O108" s="21" t="n"/>
    </row>
    <row r="109">
      <c r="A109" s="24" t="n"/>
      <c r="B109" s="21" t="n"/>
      <c r="C109" s="21" t="n"/>
      <c r="D109" s="21" t="n"/>
      <c r="E109" s="21" t="n"/>
      <c r="F109" s="28" t="n"/>
      <c r="G109" s="28" t="n"/>
      <c r="H109" s="26" t="n"/>
      <c r="I109" s="10">
        <f>IF(H109&lt;&gt;"",H109,IF(AND(F109&lt;&gt;"",G109&lt;&gt;""),ROUND((G109-F109)*1440,0),""))</f>
        <v/>
      </c>
      <c r="J109" s="26" t="n"/>
      <c r="K109" s="9">
        <f>IF(D109="","",IFERROR(VLOOKUP(D109,参数!$A$5:$C$24,2,0),""))</f>
        <v/>
      </c>
      <c r="L109" s="9">
        <f>IF(D109="","",IFERROR(VLOOKUP(D109,参数!$A$5:$C$24,3,0),""))</f>
        <v/>
      </c>
      <c r="M109" s="21" t="n"/>
      <c r="N109" s="21" t="n"/>
      <c r="O109" s="21" t="n"/>
    </row>
    <row r="110">
      <c r="A110" s="24" t="n"/>
      <c r="B110" s="21" t="n"/>
      <c r="C110" s="21" t="n"/>
      <c r="D110" s="21" t="n"/>
      <c r="E110" s="21" t="n"/>
      <c r="F110" s="28" t="n"/>
      <c r="G110" s="28" t="n"/>
      <c r="H110" s="26" t="n"/>
      <c r="I110" s="10">
        <f>IF(H110&lt;&gt;"",H110,IF(AND(F110&lt;&gt;"",G110&lt;&gt;""),ROUND((G110-F110)*1440,0),""))</f>
        <v/>
      </c>
      <c r="J110" s="26" t="n"/>
      <c r="K110" s="9">
        <f>IF(D110="","",IFERROR(VLOOKUP(D110,参数!$A$5:$C$24,2,0),""))</f>
        <v/>
      </c>
      <c r="L110" s="9">
        <f>IF(D110="","",IFERROR(VLOOKUP(D110,参数!$A$5:$C$24,3,0),""))</f>
        <v/>
      </c>
      <c r="M110" s="21" t="n"/>
      <c r="N110" s="21" t="n"/>
      <c r="O110" s="21" t="n"/>
    </row>
    <row r="111">
      <c r="A111" s="24" t="n"/>
      <c r="B111" s="21" t="n"/>
      <c r="C111" s="21" t="n"/>
      <c r="D111" s="21" t="n"/>
      <c r="E111" s="21" t="n"/>
      <c r="F111" s="28" t="n"/>
      <c r="G111" s="28" t="n"/>
      <c r="H111" s="26" t="n"/>
      <c r="I111" s="10">
        <f>IF(H111&lt;&gt;"",H111,IF(AND(F111&lt;&gt;"",G111&lt;&gt;""),ROUND((G111-F111)*1440,0),""))</f>
        <v/>
      </c>
      <c r="J111" s="26" t="n"/>
      <c r="K111" s="9">
        <f>IF(D111="","",IFERROR(VLOOKUP(D111,参数!$A$5:$C$24,2,0),""))</f>
        <v/>
      </c>
      <c r="L111" s="9">
        <f>IF(D111="","",IFERROR(VLOOKUP(D111,参数!$A$5:$C$24,3,0),""))</f>
        <v/>
      </c>
      <c r="M111" s="21" t="n"/>
      <c r="N111" s="21" t="n"/>
      <c r="O111" s="21" t="n"/>
    </row>
    <row r="112">
      <c r="A112" s="24" t="n"/>
      <c r="B112" s="21" t="n"/>
      <c r="C112" s="21" t="n"/>
      <c r="D112" s="21" t="n"/>
      <c r="E112" s="21" t="n"/>
      <c r="F112" s="28" t="n"/>
      <c r="G112" s="28" t="n"/>
      <c r="H112" s="26" t="n"/>
      <c r="I112" s="10">
        <f>IF(H112&lt;&gt;"",H112,IF(AND(F112&lt;&gt;"",G112&lt;&gt;""),ROUND((G112-F112)*1440,0),""))</f>
        <v/>
      </c>
      <c r="J112" s="26" t="n"/>
      <c r="K112" s="9">
        <f>IF(D112="","",IFERROR(VLOOKUP(D112,参数!$A$5:$C$24,2,0),""))</f>
        <v/>
      </c>
      <c r="L112" s="9">
        <f>IF(D112="","",IFERROR(VLOOKUP(D112,参数!$A$5:$C$24,3,0),""))</f>
        <v/>
      </c>
      <c r="M112" s="21" t="n"/>
      <c r="N112" s="21" t="n"/>
      <c r="O112" s="21" t="n"/>
    </row>
    <row r="113">
      <c r="A113" s="24" t="n"/>
      <c r="B113" s="21" t="n"/>
      <c r="C113" s="21" t="n"/>
      <c r="D113" s="21" t="n"/>
      <c r="E113" s="21" t="n"/>
      <c r="F113" s="28" t="n"/>
      <c r="G113" s="28" t="n"/>
      <c r="H113" s="26" t="n"/>
      <c r="I113" s="10">
        <f>IF(H113&lt;&gt;"",H113,IF(AND(F113&lt;&gt;"",G113&lt;&gt;""),ROUND((G113-F113)*1440,0),""))</f>
        <v/>
      </c>
      <c r="J113" s="26" t="n"/>
      <c r="K113" s="9">
        <f>IF(D113="","",IFERROR(VLOOKUP(D113,参数!$A$5:$C$24,2,0),""))</f>
        <v/>
      </c>
      <c r="L113" s="9">
        <f>IF(D113="","",IFERROR(VLOOKUP(D113,参数!$A$5:$C$24,3,0),""))</f>
        <v/>
      </c>
      <c r="M113" s="21" t="n"/>
      <c r="N113" s="21" t="n"/>
      <c r="O113" s="21" t="n"/>
    </row>
    <row r="114">
      <c r="A114" s="24" t="n"/>
      <c r="B114" s="21" t="n"/>
      <c r="C114" s="21" t="n"/>
      <c r="D114" s="21" t="n"/>
      <c r="E114" s="21" t="n"/>
      <c r="F114" s="28" t="n"/>
      <c r="G114" s="28" t="n"/>
      <c r="H114" s="26" t="n"/>
      <c r="I114" s="10">
        <f>IF(H114&lt;&gt;"",H114,IF(AND(F114&lt;&gt;"",G114&lt;&gt;""),ROUND((G114-F114)*1440,0),""))</f>
        <v/>
      </c>
      <c r="J114" s="26" t="n"/>
      <c r="K114" s="9">
        <f>IF(D114="","",IFERROR(VLOOKUP(D114,参数!$A$5:$C$24,2,0),""))</f>
        <v/>
      </c>
      <c r="L114" s="9">
        <f>IF(D114="","",IFERROR(VLOOKUP(D114,参数!$A$5:$C$24,3,0),""))</f>
        <v/>
      </c>
      <c r="M114" s="21" t="n"/>
      <c r="N114" s="21" t="n"/>
      <c r="O114" s="21" t="n"/>
    </row>
    <row r="115">
      <c r="A115" s="24" t="n"/>
      <c r="B115" s="21" t="n"/>
      <c r="C115" s="21" t="n"/>
      <c r="D115" s="21" t="n"/>
      <c r="E115" s="21" t="n"/>
      <c r="F115" s="28" t="n"/>
      <c r="G115" s="28" t="n"/>
      <c r="H115" s="26" t="n"/>
      <c r="I115" s="10">
        <f>IF(H115&lt;&gt;"",H115,IF(AND(F115&lt;&gt;"",G115&lt;&gt;""),ROUND((G115-F115)*1440,0),""))</f>
        <v/>
      </c>
      <c r="J115" s="26" t="n"/>
      <c r="K115" s="9">
        <f>IF(D115="","",IFERROR(VLOOKUP(D115,参数!$A$5:$C$24,2,0),""))</f>
        <v/>
      </c>
      <c r="L115" s="9">
        <f>IF(D115="","",IFERROR(VLOOKUP(D115,参数!$A$5:$C$24,3,0),""))</f>
        <v/>
      </c>
      <c r="M115" s="21" t="n"/>
      <c r="N115" s="21" t="n"/>
      <c r="O115" s="21" t="n"/>
    </row>
    <row r="116">
      <c r="A116" s="24" t="n"/>
      <c r="B116" s="21" t="n"/>
      <c r="C116" s="21" t="n"/>
      <c r="D116" s="21" t="n"/>
      <c r="E116" s="21" t="n"/>
      <c r="F116" s="28" t="n"/>
      <c r="G116" s="28" t="n"/>
      <c r="H116" s="26" t="n"/>
      <c r="I116" s="10">
        <f>IF(H116&lt;&gt;"",H116,IF(AND(F116&lt;&gt;"",G116&lt;&gt;""),ROUND((G116-F116)*1440,0),""))</f>
        <v/>
      </c>
      <c r="J116" s="26" t="n"/>
      <c r="K116" s="9">
        <f>IF(D116="","",IFERROR(VLOOKUP(D116,参数!$A$5:$C$24,2,0),""))</f>
        <v/>
      </c>
      <c r="L116" s="9">
        <f>IF(D116="","",IFERROR(VLOOKUP(D116,参数!$A$5:$C$24,3,0),""))</f>
        <v/>
      </c>
      <c r="M116" s="21" t="n"/>
      <c r="N116" s="21" t="n"/>
      <c r="O116" s="21" t="n"/>
    </row>
    <row r="117">
      <c r="A117" s="24" t="n"/>
      <c r="B117" s="21" t="n"/>
      <c r="C117" s="21" t="n"/>
      <c r="D117" s="21" t="n"/>
      <c r="E117" s="21" t="n"/>
      <c r="F117" s="28" t="n"/>
      <c r="G117" s="28" t="n"/>
      <c r="H117" s="26" t="n"/>
      <c r="I117" s="10">
        <f>IF(H117&lt;&gt;"",H117,IF(AND(F117&lt;&gt;"",G117&lt;&gt;""),ROUND((G117-F117)*1440,0),""))</f>
        <v/>
      </c>
      <c r="J117" s="26" t="n"/>
      <c r="K117" s="9">
        <f>IF(D117="","",IFERROR(VLOOKUP(D117,参数!$A$5:$C$24,2,0),""))</f>
        <v/>
      </c>
      <c r="L117" s="9">
        <f>IF(D117="","",IFERROR(VLOOKUP(D117,参数!$A$5:$C$24,3,0),""))</f>
        <v/>
      </c>
      <c r="M117" s="21" t="n"/>
      <c r="N117" s="21" t="n"/>
      <c r="O117" s="21" t="n"/>
    </row>
    <row r="118">
      <c r="A118" s="24" t="n"/>
      <c r="B118" s="21" t="n"/>
      <c r="C118" s="21" t="n"/>
      <c r="D118" s="21" t="n"/>
      <c r="E118" s="21" t="n"/>
      <c r="F118" s="28" t="n"/>
      <c r="G118" s="28" t="n"/>
      <c r="H118" s="26" t="n"/>
      <c r="I118" s="10">
        <f>IF(H118&lt;&gt;"",H118,IF(AND(F118&lt;&gt;"",G118&lt;&gt;""),ROUND((G118-F118)*1440,0),""))</f>
        <v/>
      </c>
      <c r="J118" s="26" t="n"/>
      <c r="K118" s="9">
        <f>IF(D118="","",IFERROR(VLOOKUP(D118,参数!$A$5:$C$24,2,0),""))</f>
        <v/>
      </c>
      <c r="L118" s="9">
        <f>IF(D118="","",IFERROR(VLOOKUP(D118,参数!$A$5:$C$24,3,0),""))</f>
        <v/>
      </c>
      <c r="M118" s="21" t="n"/>
      <c r="N118" s="21" t="n"/>
      <c r="O118" s="21" t="n"/>
    </row>
    <row r="119">
      <c r="A119" s="24" t="n"/>
      <c r="B119" s="21" t="n"/>
      <c r="C119" s="21" t="n"/>
      <c r="D119" s="21" t="n"/>
      <c r="E119" s="21" t="n"/>
      <c r="F119" s="28" t="n"/>
      <c r="G119" s="28" t="n"/>
      <c r="H119" s="26" t="n"/>
      <c r="I119" s="10">
        <f>IF(H119&lt;&gt;"",H119,IF(AND(F119&lt;&gt;"",G119&lt;&gt;""),ROUND((G119-F119)*1440,0),""))</f>
        <v/>
      </c>
      <c r="J119" s="26" t="n"/>
      <c r="K119" s="9">
        <f>IF(D119="","",IFERROR(VLOOKUP(D119,参数!$A$5:$C$24,2,0),""))</f>
        <v/>
      </c>
      <c r="L119" s="9">
        <f>IF(D119="","",IFERROR(VLOOKUP(D119,参数!$A$5:$C$24,3,0),""))</f>
        <v/>
      </c>
      <c r="M119" s="21" t="n"/>
      <c r="N119" s="21" t="n"/>
      <c r="O119" s="21" t="n"/>
    </row>
    <row r="120">
      <c r="A120" s="24" t="n"/>
      <c r="B120" s="21" t="n"/>
      <c r="C120" s="21" t="n"/>
      <c r="D120" s="21" t="n"/>
      <c r="E120" s="21" t="n"/>
      <c r="F120" s="28" t="n"/>
      <c r="G120" s="28" t="n"/>
      <c r="H120" s="26" t="n"/>
      <c r="I120" s="10">
        <f>IF(H120&lt;&gt;"",H120,IF(AND(F120&lt;&gt;"",G120&lt;&gt;""),ROUND((G120-F120)*1440,0),""))</f>
        <v/>
      </c>
      <c r="J120" s="26" t="n"/>
      <c r="K120" s="9">
        <f>IF(D120="","",IFERROR(VLOOKUP(D120,参数!$A$5:$C$24,2,0),""))</f>
        <v/>
      </c>
      <c r="L120" s="9">
        <f>IF(D120="","",IFERROR(VLOOKUP(D120,参数!$A$5:$C$24,3,0),""))</f>
        <v/>
      </c>
      <c r="M120" s="21" t="n"/>
      <c r="N120" s="21" t="n"/>
      <c r="O120" s="21" t="n"/>
    </row>
    <row r="121">
      <c r="A121" s="24" t="n"/>
      <c r="B121" s="21" t="n"/>
      <c r="C121" s="21" t="n"/>
      <c r="D121" s="21" t="n"/>
      <c r="E121" s="21" t="n"/>
      <c r="F121" s="28" t="n"/>
      <c r="G121" s="28" t="n"/>
      <c r="H121" s="26" t="n"/>
      <c r="I121" s="10">
        <f>IF(H121&lt;&gt;"",H121,IF(AND(F121&lt;&gt;"",G121&lt;&gt;""),ROUND((G121-F121)*1440,0),""))</f>
        <v/>
      </c>
      <c r="J121" s="26" t="n"/>
      <c r="K121" s="9">
        <f>IF(D121="","",IFERROR(VLOOKUP(D121,参数!$A$5:$C$24,2,0),""))</f>
        <v/>
      </c>
      <c r="L121" s="9">
        <f>IF(D121="","",IFERROR(VLOOKUP(D121,参数!$A$5:$C$24,3,0),""))</f>
        <v/>
      </c>
      <c r="M121" s="21" t="n"/>
      <c r="N121" s="21" t="n"/>
      <c r="O121" s="21" t="n"/>
    </row>
    <row r="122">
      <c r="A122" s="24" t="n"/>
      <c r="B122" s="21" t="n"/>
      <c r="C122" s="21" t="n"/>
      <c r="D122" s="21" t="n"/>
      <c r="E122" s="21" t="n"/>
      <c r="F122" s="28" t="n"/>
      <c r="G122" s="28" t="n"/>
      <c r="H122" s="26" t="n"/>
      <c r="I122" s="10">
        <f>IF(H122&lt;&gt;"",H122,IF(AND(F122&lt;&gt;"",G122&lt;&gt;""),ROUND((G122-F122)*1440,0),""))</f>
        <v/>
      </c>
      <c r="J122" s="26" t="n"/>
      <c r="K122" s="9">
        <f>IF(D122="","",IFERROR(VLOOKUP(D122,参数!$A$5:$C$24,2,0),""))</f>
        <v/>
      </c>
      <c r="L122" s="9">
        <f>IF(D122="","",IFERROR(VLOOKUP(D122,参数!$A$5:$C$24,3,0),""))</f>
        <v/>
      </c>
      <c r="M122" s="21" t="n"/>
      <c r="N122" s="21" t="n"/>
      <c r="O122" s="21" t="n"/>
    </row>
    <row r="123">
      <c r="A123" s="24" t="n"/>
      <c r="B123" s="21" t="n"/>
      <c r="C123" s="21" t="n"/>
      <c r="D123" s="21" t="n"/>
      <c r="E123" s="21" t="n"/>
      <c r="F123" s="28" t="n"/>
      <c r="G123" s="28" t="n"/>
      <c r="H123" s="26" t="n"/>
      <c r="I123" s="10">
        <f>IF(H123&lt;&gt;"",H123,IF(AND(F123&lt;&gt;"",G123&lt;&gt;""),ROUND((G123-F123)*1440,0),""))</f>
        <v/>
      </c>
      <c r="J123" s="26" t="n"/>
      <c r="K123" s="9">
        <f>IF(D123="","",IFERROR(VLOOKUP(D123,参数!$A$5:$C$24,2,0),""))</f>
        <v/>
      </c>
      <c r="L123" s="9">
        <f>IF(D123="","",IFERROR(VLOOKUP(D123,参数!$A$5:$C$24,3,0),""))</f>
        <v/>
      </c>
      <c r="M123" s="21" t="n"/>
      <c r="N123" s="21" t="n"/>
      <c r="O123" s="21" t="n"/>
    </row>
    <row r="124">
      <c r="A124" s="24" t="n"/>
      <c r="B124" s="21" t="n"/>
      <c r="C124" s="21" t="n"/>
      <c r="D124" s="21" t="n"/>
      <c r="E124" s="21" t="n"/>
      <c r="F124" s="28" t="n"/>
      <c r="G124" s="28" t="n"/>
      <c r="H124" s="26" t="n"/>
      <c r="I124" s="10">
        <f>IF(H124&lt;&gt;"",H124,IF(AND(F124&lt;&gt;"",G124&lt;&gt;""),ROUND((G124-F124)*1440,0),""))</f>
        <v/>
      </c>
      <c r="J124" s="26" t="n"/>
      <c r="K124" s="9">
        <f>IF(D124="","",IFERROR(VLOOKUP(D124,参数!$A$5:$C$24,2,0),""))</f>
        <v/>
      </c>
      <c r="L124" s="9">
        <f>IF(D124="","",IFERROR(VLOOKUP(D124,参数!$A$5:$C$24,3,0),""))</f>
        <v/>
      </c>
      <c r="M124" s="21" t="n"/>
      <c r="N124" s="21" t="n"/>
      <c r="O124" s="21" t="n"/>
    </row>
    <row r="125">
      <c r="A125" s="24" t="n"/>
      <c r="B125" s="21" t="n"/>
      <c r="C125" s="21" t="n"/>
      <c r="D125" s="21" t="n"/>
      <c r="E125" s="21" t="n"/>
      <c r="F125" s="28" t="n"/>
      <c r="G125" s="28" t="n"/>
      <c r="H125" s="26" t="n"/>
      <c r="I125" s="10">
        <f>IF(H125&lt;&gt;"",H125,IF(AND(F125&lt;&gt;"",G125&lt;&gt;""),ROUND((G125-F125)*1440,0),""))</f>
        <v/>
      </c>
      <c r="J125" s="26" t="n"/>
      <c r="K125" s="9">
        <f>IF(D125="","",IFERROR(VLOOKUP(D125,参数!$A$5:$C$24,2,0),""))</f>
        <v/>
      </c>
      <c r="L125" s="9">
        <f>IF(D125="","",IFERROR(VLOOKUP(D125,参数!$A$5:$C$24,3,0),""))</f>
        <v/>
      </c>
      <c r="M125" s="21" t="n"/>
      <c r="N125" s="21" t="n"/>
      <c r="O125" s="21" t="n"/>
    </row>
    <row r="126">
      <c r="A126" s="24" t="n"/>
      <c r="B126" s="21" t="n"/>
      <c r="C126" s="21" t="n"/>
      <c r="D126" s="21" t="n"/>
      <c r="E126" s="21" t="n"/>
      <c r="F126" s="28" t="n"/>
      <c r="G126" s="28" t="n"/>
      <c r="H126" s="26" t="n"/>
      <c r="I126" s="10">
        <f>IF(H126&lt;&gt;"",H126,IF(AND(F126&lt;&gt;"",G126&lt;&gt;""),ROUND((G126-F126)*1440,0),""))</f>
        <v/>
      </c>
      <c r="J126" s="26" t="n"/>
      <c r="K126" s="9">
        <f>IF(D126="","",IFERROR(VLOOKUP(D126,参数!$A$5:$C$24,2,0),""))</f>
        <v/>
      </c>
      <c r="L126" s="9">
        <f>IF(D126="","",IFERROR(VLOOKUP(D126,参数!$A$5:$C$24,3,0),""))</f>
        <v/>
      </c>
      <c r="M126" s="21" t="n"/>
      <c r="N126" s="21" t="n"/>
      <c r="O126" s="21" t="n"/>
    </row>
    <row r="127">
      <c r="A127" s="24" t="n"/>
      <c r="B127" s="21" t="n"/>
      <c r="C127" s="21" t="n"/>
      <c r="D127" s="21" t="n"/>
      <c r="E127" s="21" t="n"/>
      <c r="F127" s="28" t="n"/>
      <c r="G127" s="28" t="n"/>
      <c r="H127" s="26" t="n"/>
      <c r="I127" s="10">
        <f>IF(H127&lt;&gt;"",H127,IF(AND(F127&lt;&gt;"",G127&lt;&gt;""),ROUND((G127-F127)*1440,0),""))</f>
        <v/>
      </c>
      <c r="J127" s="26" t="n"/>
      <c r="K127" s="9">
        <f>IF(D127="","",IFERROR(VLOOKUP(D127,参数!$A$5:$C$24,2,0),""))</f>
        <v/>
      </c>
      <c r="L127" s="9">
        <f>IF(D127="","",IFERROR(VLOOKUP(D127,参数!$A$5:$C$24,3,0),""))</f>
        <v/>
      </c>
      <c r="M127" s="21" t="n"/>
      <c r="N127" s="21" t="n"/>
      <c r="O127" s="21" t="n"/>
    </row>
    <row r="128">
      <c r="A128" s="24" t="n"/>
      <c r="B128" s="21" t="n"/>
      <c r="C128" s="21" t="n"/>
      <c r="D128" s="21" t="n"/>
      <c r="E128" s="21" t="n"/>
      <c r="F128" s="28" t="n"/>
      <c r="G128" s="28" t="n"/>
      <c r="H128" s="26" t="n"/>
      <c r="I128" s="10">
        <f>IF(H128&lt;&gt;"",H128,IF(AND(F128&lt;&gt;"",G128&lt;&gt;""),ROUND((G128-F128)*1440,0),""))</f>
        <v/>
      </c>
      <c r="J128" s="26" t="n"/>
      <c r="K128" s="9">
        <f>IF(D128="","",IFERROR(VLOOKUP(D128,参数!$A$5:$C$24,2,0),""))</f>
        <v/>
      </c>
      <c r="L128" s="9">
        <f>IF(D128="","",IFERROR(VLOOKUP(D128,参数!$A$5:$C$24,3,0),""))</f>
        <v/>
      </c>
      <c r="M128" s="21" t="n"/>
      <c r="N128" s="21" t="n"/>
      <c r="O128" s="21" t="n"/>
    </row>
    <row r="129">
      <c r="A129" s="24" t="n"/>
      <c r="B129" s="21" t="n"/>
      <c r="C129" s="21" t="n"/>
      <c r="D129" s="21" t="n"/>
      <c r="E129" s="21" t="n"/>
      <c r="F129" s="28" t="n"/>
      <c r="G129" s="28" t="n"/>
      <c r="H129" s="26" t="n"/>
      <c r="I129" s="10">
        <f>IF(H129&lt;&gt;"",H129,IF(AND(F129&lt;&gt;"",G129&lt;&gt;""),ROUND((G129-F129)*1440,0),""))</f>
        <v/>
      </c>
      <c r="J129" s="26" t="n"/>
      <c r="K129" s="9">
        <f>IF(D129="","",IFERROR(VLOOKUP(D129,参数!$A$5:$C$24,2,0),""))</f>
        <v/>
      </c>
      <c r="L129" s="9">
        <f>IF(D129="","",IFERROR(VLOOKUP(D129,参数!$A$5:$C$24,3,0),""))</f>
        <v/>
      </c>
      <c r="M129" s="21" t="n"/>
      <c r="N129" s="21" t="n"/>
      <c r="O129" s="21" t="n"/>
    </row>
    <row r="130">
      <c r="A130" s="24" t="n"/>
      <c r="B130" s="21" t="n"/>
      <c r="C130" s="21" t="n"/>
      <c r="D130" s="21" t="n"/>
      <c r="E130" s="21" t="n"/>
      <c r="F130" s="28" t="n"/>
      <c r="G130" s="28" t="n"/>
      <c r="H130" s="26" t="n"/>
      <c r="I130" s="10">
        <f>IF(H130&lt;&gt;"",H130,IF(AND(F130&lt;&gt;"",G130&lt;&gt;""),ROUND((G130-F130)*1440,0),""))</f>
        <v/>
      </c>
      <c r="J130" s="26" t="n"/>
      <c r="K130" s="9">
        <f>IF(D130="","",IFERROR(VLOOKUP(D130,参数!$A$5:$C$24,2,0),""))</f>
        <v/>
      </c>
      <c r="L130" s="9">
        <f>IF(D130="","",IFERROR(VLOOKUP(D130,参数!$A$5:$C$24,3,0),""))</f>
        <v/>
      </c>
      <c r="M130" s="21" t="n"/>
      <c r="N130" s="21" t="n"/>
      <c r="O130" s="21" t="n"/>
    </row>
    <row r="131">
      <c r="A131" s="24" t="n"/>
      <c r="B131" s="21" t="n"/>
      <c r="C131" s="21" t="n"/>
      <c r="D131" s="21" t="n"/>
      <c r="E131" s="21" t="n"/>
      <c r="F131" s="28" t="n"/>
      <c r="G131" s="28" t="n"/>
      <c r="H131" s="26" t="n"/>
      <c r="I131" s="10">
        <f>IF(H131&lt;&gt;"",H131,IF(AND(F131&lt;&gt;"",G131&lt;&gt;""),ROUND((G131-F131)*1440,0),""))</f>
        <v/>
      </c>
      <c r="J131" s="26" t="n"/>
      <c r="K131" s="9">
        <f>IF(D131="","",IFERROR(VLOOKUP(D131,参数!$A$5:$C$24,2,0),""))</f>
        <v/>
      </c>
      <c r="L131" s="9">
        <f>IF(D131="","",IFERROR(VLOOKUP(D131,参数!$A$5:$C$24,3,0),""))</f>
        <v/>
      </c>
      <c r="M131" s="21" t="n"/>
      <c r="N131" s="21" t="n"/>
      <c r="O131" s="21" t="n"/>
    </row>
    <row r="132">
      <c r="A132" s="24" t="n"/>
      <c r="B132" s="21" t="n"/>
      <c r="C132" s="21" t="n"/>
      <c r="D132" s="21" t="n"/>
      <c r="E132" s="21" t="n"/>
      <c r="F132" s="28" t="n"/>
      <c r="G132" s="28" t="n"/>
      <c r="H132" s="26" t="n"/>
      <c r="I132" s="10">
        <f>IF(H132&lt;&gt;"",H132,IF(AND(F132&lt;&gt;"",G132&lt;&gt;""),ROUND((G132-F132)*1440,0),""))</f>
        <v/>
      </c>
      <c r="J132" s="26" t="n"/>
      <c r="K132" s="9">
        <f>IF(D132="","",IFERROR(VLOOKUP(D132,参数!$A$5:$C$24,2,0),""))</f>
        <v/>
      </c>
      <c r="L132" s="9">
        <f>IF(D132="","",IFERROR(VLOOKUP(D132,参数!$A$5:$C$24,3,0),""))</f>
        <v/>
      </c>
      <c r="M132" s="21" t="n"/>
      <c r="N132" s="21" t="n"/>
      <c r="O132" s="21" t="n"/>
    </row>
    <row r="133">
      <c r="A133" s="24" t="n"/>
      <c r="B133" s="21" t="n"/>
      <c r="C133" s="21" t="n"/>
      <c r="D133" s="21" t="n"/>
      <c r="E133" s="21" t="n"/>
      <c r="F133" s="28" t="n"/>
      <c r="G133" s="28" t="n"/>
      <c r="H133" s="26" t="n"/>
      <c r="I133" s="10">
        <f>IF(H133&lt;&gt;"",H133,IF(AND(F133&lt;&gt;"",G133&lt;&gt;""),ROUND((G133-F133)*1440,0),""))</f>
        <v/>
      </c>
      <c r="J133" s="26" t="n"/>
      <c r="K133" s="9">
        <f>IF(D133="","",IFERROR(VLOOKUP(D133,参数!$A$5:$C$24,2,0),""))</f>
        <v/>
      </c>
      <c r="L133" s="9">
        <f>IF(D133="","",IFERROR(VLOOKUP(D133,参数!$A$5:$C$24,3,0),""))</f>
        <v/>
      </c>
      <c r="M133" s="21" t="n"/>
      <c r="N133" s="21" t="n"/>
      <c r="O133" s="21" t="n"/>
    </row>
    <row r="134">
      <c r="A134" s="24" t="n"/>
      <c r="B134" s="21" t="n"/>
      <c r="C134" s="21" t="n"/>
      <c r="D134" s="21" t="n"/>
      <c r="E134" s="21" t="n"/>
      <c r="F134" s="28" t="n"/>
      <c r="G134" s="28" t="n"/>
      <c r="H134" s="26" t="n"/>
      <c r="I134" s="10">
        <f>IF(H134&lt;&gt;"",H134,IF(AND(F134&lt;&gt;"",G134&lt;&gt;""),ROUND((G134-F134)*1440,0),""))</f>
        <v/>
      </c>
      <c r="J134" s="26" t="n"/>
      <c r="K134" s="9">
        <f>IF(D134="","",IFERROR(VLOOKUP(D134,参数!$A$5:$C$24,2,0),""))</f>
        <v/>
      </c>
      <c r="L134" s="9">
        <f>IF(D134="","",IFERROR(VLOOKUP(D134,参数!$A$5:$C$24,3,0),""))</f>
        <v/>
      </c>
      <c r="M134" s="21" t="n"/>
      <c r="N134" s="21" t="n"/>
      <c r="O134" s="21" t="n"/>
    </row>
    <row r="135">
      <c r="A135" s="24" t="n"/>
      <c r="B135" s="21" t="n"/>
      <c r="C135" s="21" t="n"/>
      <c r="D135" s="21" t="n"/>
      <c r="E135" s="21" t="n"/>
      <c r="F135" s="28" t="n"/>
      <c r="G135" s="28" t="n"/>
      <c r="H135" s="26" t="n"/>
      <c r="I135" s="10">
        <f>IF(H135&lt;&gt;"",H135,IF(AND(F135&lt;&gt;"",G135&lt;&gt;""),ROUND((G135-F135)*1440,0),""))</f>
        <v/>
      </c>
      <c r="J135" s="26" t="n"/>
      <c r="K135" s="9">
        <f>IF(D135="","",IFERROR(VLOOKUP(D135,参数!$A$5:$C$24,2,0),""))</f>
        <v/>
      </c>
      <c r="L135" s="9">
        <f>IF(D135="","",IFERROR(VLOOKUP(D135,参数!$A$5:$C$24,3,0),""))</f>
        <v/>
      </c>
      <c r="M135" s="21" t="n"/>
      <c r="N135" s="21" t="n"/>
      <c r="O135" s="21" t="n"/>
    </row>
    <row r="136">
      <c r="A136" s="24" t="n"/>
      <c r="B136" s="21" t="n"/>
      <c r="C136" s="21" t="n"/>
      <c r="D136" s="21" t="n"/>
      <c r="E136" s="21" t="n"/>
      <c r="F136" s="28" t="n"/>
      <c r="G136" s="28" t="n"/>
      <c r="H136" s="26" t="n"/>
      <c r="I136" s="10">
        <f>IF(H136&lt;&gt;"",H136,IF(AND(F136&lt;&gt;"",G136&lt;&gt;""),ROUND((G136-F136)*1440,0),""))</f>
        <v/>
      </c>
      <c r="J136" s="26" t="n"/>
      <c r="K136" s="9">
        <f>IF(D136="","",IFERROR(VLOOKUP(D136,参数!$A$5:$C$24,2,0),""))</f>
        <v/>
      </c>
      <c r="L136" s="9">
        <f>IF(D136="","",IFERROR(VLOOKUP(D136,参数!$A$5:$C$24,3,0),""))</f>
        <v/>
      </c>
      <c r="M136" s="21" t="n"/>
      <c r="N136" s="21" t="n"/>
      <c r="O136" s="21" t="n"/>
    </row>
    <row r="137">
      <c r="A137" s="24" t="n"/>
      <c r="B137" s="21" t="n"/>
      <c r="C137" s="21" t="n"/>
      <c r="D137" s="21" t="n"/>
      <c r="E137" s="21" t="n"/>
      <c r="F137" s="28" t="n"/>
      <c r="G137" s="28" t="n"/>
      <c r="H137" s="26" t="n"/>
      <c r="I137" s="10">
        <f>IF(H137&lt;&gt;"",H137,IF(AND(F137&lt;&gt;"",G137&lt;&gt;""),ROUND((G137-F137)*1440,0),""))</f>
        <v/>
      </c>
      <c r="J137" s="26" t="n"/>
      <c r="K137" s="9">
        <f>IF(D137="","",IFERROR(VLOOKUP(D137,参数!$A$5:$C$24,2,0),""))</f>
        <v/>
      </c>
      <c r="L137" s="9">
        <f>IF(D137="","",IFERROR(VLOOKUP(D137,参数!$A$5:$C$24,3,0),""))</f>
        <v/>
      </c>
      <c r="M137" s="21" t="n"/>
      <c r="N137" s="21" t="n"/>
      <c r="O137" s="21" t="n"/>
    </row>
    <row r="138">
      <c r="A138" s="24" t="n"/>
      <c r="B138" s="21" t="n"/>
      <c r="C138" s="21" t="n"/>
      <c r="D138" s="21" t="n"/>
      <c r="E138" s="21" t="n"/>
      <c r="F138" s="28" t="n"/>
      <c r="G138" s="28" t="n"/>
      <c r="H138" s="26" t="n"/>
      <c r="I138" s="10">
        <f>IF(H138&lt;&gt;"",H138,IF(AND(F138&lt;&gt;"",G138&lt;&gt;""),ROUND((G138-F138)*1440,0),""))</f>
        <v/>
      </c>
      <c r="J138" s="26" t="n"/>
      <c r="K138" s="9">
        <f>IF(D138="","",IFERROR(VLOOKUP(D138,参数!$A$5:$C$24,2,0),""))</f>
        <v/>
      </c>
      <c r="L138" s="9">
        <f>IF(D138="","",IFERROR(VLOOKUP(D138,参数!$A$5:$C$24,3,0),""))</f>
        <v/>
      </c>
      <c r="M138" s="21" t="n"/>
      <c r="N138" s="21" t="n"/>
      <c r="O138" s="21" t="n"/>
    </row>
    <row r="139">
      <c r="A139" s="24" t="n"/>
      <c r="B139" s="21" t="n"/>
      <c r="C139" s="21" t="n"/>
      <c r="D139" s="21" t="n"/>
      <c r="E139" s="21" t="n"/>
      <c r="F139" s="28" t="n"/>
      <c r="G139" s="28" t="n"/>
      <c r="H139" s="26" t="n"/>
      <c r="I139" s="10">
        <f>IF(H139&lt;&gt;"",H139,IF(AND(F139&lt;&gt;"",G139&lt;&gt;""),ROUND((G139-F139)*1440,0),""))</f>
        <v/>
      </c>
      <c r="J139" s="26" t="n"/>
      <c r="K139" s="9">
        <f>IF(D139="","",IFERROR(VLOOKUP(D139,参数!$A$5:$C$24,2,0),""))</f>
        <v/>
      </c>
      <c r="L139" s="9">
        <f>IF(D139="","",IFERROR(VLOOKUP(D139,参数!$A$5:$C$24,3,0),""))</f>
        <v/>
      </c>
      <c r="M139" s="21" t="n"/>
      <c r="N139" s="21" t="n"/>
      <c r="O139" s="21" t="n"/>
    </row>
    <row r="140">
      <c r="A140" s="24" t="n"/>
      <c r="B140" s="21" t="n"/>
      <c r="C140" s="21" t="n"/>
      <c r="D140" s="21" t="n"/>
      <c r="E140" s="21" t="n"/>
      <c r="F140" s="28" t="n"/>
      <c r="G140" s="28" t="n"/>
      <c r="H140" s="26" t="n"/>
      <c r="I140" s="10">
        <f>IF(H140&lt;&gt;"",H140,IF(AND(F140&lt;&gt;"",G140&lt;&gt;""),ROUND((G140-F140)*1440,0),""))</f>
        <v/>
      </c>
      <c r="J140" s="26" t="n"/>
      <c r="K140" s="9">
        <f>IF(D140="","",IFERROR(VLOOKUP(D140,参数!$A$5:$C$24,2,0),""))</f>
        <v/>
      </c>
      <c r="L140" s="9">
        <f>IF(D140="","",IFERROR(VLOOKUP(D140,参数!$A$5:$C$24,3,0),""))</f>
        <v/>
      </c>
      <c r="M140" s="21" t="n"/>
      <c r="N140" s="21" t="n"/>
      <c r="O140" s="21" t="n"/>
    </row>
    <row r="141">
      <c r="A141" s="24" t="n"/>
      <c r="B141" s="21" t="n"/>
      <c r="C141" s="21" t="n"/>
      <c r="D141" s="21" t="n"/>
      <c r="E141" s="21" t="n"/>
      <c r="F141" s="28" t="n"/>
      <c r="G141" s="28" t="n"/>
      <c r="H141" s="26" t="n"/>
      <c r="I141" s="10">
        <f>IF(H141&lt;&gt;"",H141,IF(AND(F141&lt;&gt;"",G141&lt;&gt;""),ROUND((G141-F141)*1440,0),""))</f>
        <v/>
      </c>
      <c r="J141" s="26" t="n"/>
      <c r="K141" s="9">
        <f>IF(D141="","",IFERROR(VLOOKUP(D141,参数!$A$5:$C$24,2,0),""))</f>
        <v/>
      </c>
      <c r="L141" s="9">
        <f>IF(D141="","",IFERROR(VLOOKUP(D141,参数!$A$5:$C$24,3,0),""))</f>
        <v/>
      </c>
      <c r="M141" s="21" t="n"/>
      <c r="N141" s="21" t="n"/>
      <c r="O141" s="21" t="n"/>
    </row>
    <row r="142">
      <c r="A142" s="24" t="n"/>
      <c r="B142" s="21" t="n"/>
      <c r="C142" s="21" t="n"/>
      <c r="D142" s="21" t="n"/>
      <c r="E142" s="21" t="n"/>
      <c r="F142" s="28" t="n"/>
      <c r="G142" s="28" t="n"/>
      <c r="H142" s="26" t="n"/>
      <c r="I142" s="10">
        <f>IF(H142&lt;&gt;"",H142,IF(AND(F142&lt;&gt;"",G142&lt;&gt;""),ROUND((G142-F142)*1440,0),""))</f>
        <v/>
      </c>
      <c r="J142" s="26" t="n"/>
      <c r="K142" s="9">
        <f>IF(D142="","",IFERROR(VLOOKUP(D142,参数!$A$5:$C$24,2,0),""))</f>
        <v/>
      </c>
      <c r="L142" s="9">
        <f>IF(D142="","",IFERROR(VLOOKUP(D142,参数!$A$5:$C$24,3,0),""))</f>
        <v/>
      </c>
      <c r="M142" s="21" t="n"/>
      <c r="N142" s="21" t="n"/>
      <c r="O142" s="21" t="n"/>
    </row>
    <row r="143">
      <c r="A143" s="24" t="n"/>
      <c r="B143" s="21" t="n"/>
      <c r="C143" s="21" t="n"/>
      <c r="D143" s="21" t="n"/>
      <c r="E143" s="21" t="n"/>
      <c r="F143" s="28" t="n"/>
      <c r="G143" s="28" t="n"/>
      <c r="H143" s="26" t="n"/>
      <c r="I143" s="10">
        <f>IF(H143&lt;&gt;"",H143,IF(AND(F143&lt;&gt;"",G143&lt;&gt;""),ROUND((G143-F143)*1440,0),""))</f>
        <v/>
      </c>
      <c r="J143" s="26" t="n"/>
      <c r="K143" s="9">
        <f>IF(D143="","",IFERROR(VLOOKUP(D143,参数!$A$5:$C$24,2,0),""))</f>
        <v/>
      </c>
      <c r="L143" s="9">
        <f>IF(D143="","",IFERROR(VLOOKUP(D143,参数!$A$5:$C$24,3,0),""))</f>
        <v/>
      </c>
      <c r="M143" s="21" t="n"/>
      <c r="N143" s="21" t="n"/>
      <c r="O143" s="21" t="n"/>
    </row>
    <row r="144">
      <c r="A144" s="24" t="n"/>
      <c r="B144" s="21" t="n"/>
      <c r="C144" s="21" t="n"/>
      <c r="D144" s="21" t="n"/>
      <c r="E144" s="21" t="n"/>
      <c r="F144" s="28" t="n"/>
      <c r="G144" s="28" t="n"/>
      <c r="H144" s="26" t="n"/>
      <c r="I144" s="10">
        <f>IF(H144&lt;&gt;"",H144,IF(AND(F144&lt;&gt;"",G144&lt;&gt;""),ROUND((G144-F144)*1440,0),""))</f>
        <v/>
      </c>
      <c r="J144" s="26" t="n"/>
      <c r="K144" s="9">
        <f>IF(D144="","",IFERROR(VLOOKUP(D144,参数!$A$5:$C$24,2,0),""))</f>
        <v/>
      </c>
      <c r="L144" s="9">
        <f>IF(D144="","",IFERROR(VLOOKUP(D144,参数!$A$5:$C$24,3,0),""))</f>
        <v/>
      </c>
      <c r="M144" s="21" t="n"/>
      <c r="N144" s="21" t="n"/>
      <c r="O144" s="21" t="n"/>
    </row>
    <row r="145">
      <c r="A145" s="24" t="n"/>
      <c r="B145" s="21" t="n"/>
      <c r="C145" s="21" t="n"/>
      <c r="D145" s="21" t="n"/>
      <c r="E145" s="21" t="n"/>
      <c r="F145" s="28" t="n"/>
      <c r="G145" s="28" t="n"/>
      <c r="H145" s="26" t="n"/>
      <c r="I145" s="10">
        <f>IF(H145&lt;&gt;"",H145,IF(AND(F145&lt;&gt;"",G145&lt;&gt;""),ROUND((G145-F145)*1440,0),""))</f>
        <v/>
      </c>
      <c r="J145" s="26" t="n"/>
      <c r="K145" s="9">
        <f>IF(D145="","",IFERROR(VLOOKUP(D145,参数!$A$5:$C$24,2,0),""))</f>
        <v/>
      </c>
      <c r="L145" s="9">
        <f>IF(D145="","",IFERROR(VLOOKUP(D145,参数!$A$5:$C$24,3,0),""))</f>
        <v/>
      </c>
      <c r="M145" s="21" t="n"/>
      <c r="N145" s="21" t="n"/>
      <c r="O145" s="21" t="n"/>
    </row>
    <row r="146">
      <c r="A146" s="24" t="n"/>
      <c r="B146" s="21" t="n"/>
      <c r="C146" s="21" t="n"/>
      <c r="D146" s="21" t="n"/>
      <c r="E146" s="21" t="n"/>
      <c r="F146" s="28" t="n"/>
      <c r="G146" s="28" t="n"/>
      <c r="H146" s="26" t="n"/>
      <c r="I146" s="10">
        <f>IF(H146&lt;&gt;"",H146,IF(AND(F146&lt;&gt;"",G146&lt;&gt;""),ROUND((G146-F146)*1440,0),""))</f>
        <v/>
      </c>
      <c r="J146" s="26" t="n"/>
      <c r="K146" s="9">
        <f>IF(D146="","",IFERROR(VLOOKUP(D146,参数!$A$5:$C$24,2,0),""))</f>
        <v/>
      </c>
      <c r="L146" s="9">
        <f>IF(D146="","",IFERROR(VLOOKUP(D146,参数!$A$5:$C$24,3,0),""))</f>
        <v/>
      </c>
      <c r="M146" s="21" t="n"/>
      <c r="N146" s="21" t="n"/>
      <c r="O146" s="21" t="n"/>
    </row>
    <row r="147">
      <c r="A147" s="24" t="n"/>
      <c r="B147" s="21" t="n"/>
      <c r="C147" s="21" t="n"/>
      <c r="D147" s="21" t="n"/>
      <c r="E147" s="21" t="n"/>
      <c r="F147" s="28" t="n"/>
      <c r="G147" s="28" t="n"/>
      <c r="H147" s="26" t="n"/>
      <c r="I147" s="10">
        <f>IF(H147&lt;&gt;"",H147,IF(AND(F147&lt;&gt;"",G147&lt;&gt;""),ROUND((G147-F147)*1440,0),""))</f>
        <v/>
      </c>
      <c r="J147" s="26" t="n"/>
      <c r="K147" s="9">
        <f>IF(D147="","",IFERROR(VLOOKUP(D147,参数!$A$5:$C$24,2,0),""))</f>
        <v/>
      </c>
      <c r="L147" s="9">
        <f>IF(D147="","",IFERROR(VLOOKUP(D147,参数!$A$5:$C$24,3,0),""))</f>
        <v/>
      </c>
      <c r="M147" s="21" t="n"/>
      <c r="N147" s="21" t="n"/>
      <c r="O147" s="21" t="n"/>
    </row>
    <row r="148">
      <c r="A148" s="24" t="n"/>
      <c r="B148" s="21" t="n"/>
      <c r="C148" s="21" t="n"/>
      <c r="D148" s="21" t="n"/>
      <c r="E148" s="21" t="n"/>
      <c r="F148" s="28" t="n"/>
      <c r="G148" s="28" t="n"/>
      <c r="H148" s="26" t="n"/>
      <c r="I148" s="10">
        <f>IF(H148&lt;&gt;"",H148,IF(AND(F148&lt;&gt;"",G148&lt;&gt;""),ROUND((G148-F148)*1440,0),""))</f>
        <v/>
      </c>
      <c r="J148" s="26" t="n"/>
      <c r="K148" s="9">
        <f>IF(D148="","",IFERROR(VLOOKUP(D148,参数!$A$5:$C$24,2,0),""))</f>
        <v/>
      </c>
      <c r="L148" s="9">
        <f>IF(D148="","",IFERROR(VLOOKUP(D148,参数!$A$5:$C$24,3,0),""))</f>
        <v/>
      </c>
      <c r="M148" s="21" t="n"/>
      <c r="N148" s="21" t="n"/>
      <c r="O148" s="21" t="n"/>
    </row>
    <row r="149">
      <c r="A149" s="24" t="n"/>
      <c r="B149" s="21" t="n"/>
      <c r="C149" s="21" t="n"/>
      <c r="D149" s="21" t="n"/>
      <c r="E149" s="21" t="n"/>
      <c r="F149" s="28" t="n"/>
      <c r="G149" s="28" t="n"/>
      <c r="H149" s="26" t="n"/>
      <c r="I149" s="10">
        <f>IF(H149&lt;&gt;"",H149,IF(AND(F149&lt;&gt;"",G149&lt;&gt;""),ROUND((G149-F149)*1440,0),""))</f>
        <v/>
      </c>
      <c r="J149" s="26" t="n"/>
      <c r="K149" s="9">
        <f>IF(D149="","",IFERROR(VLOOKUP(D149,参数!$A$5:$C$24,2,0),""))</f>
        <v/>
      </c>
      <c r="L149" s="9">
        <f>IF(D149="","",IFERROR(VLOOKUP(D149,参数!$A$5:$C$24,3,0),""))</f>
        <v/>
      </c>
      <c r="M149" s="21" t="n"/>
      <c r="N149" s="21" t="n"/>
      <c r="O149" s="21" t="n"/>
    </row>
    <row r="150">
      <c r="A150" s="24" t="n"/>
      <c r="B150" s="21" t="n"/>
      <c r="C150" s="21" t="n"/>
      <c r="D150" s="21" t="n"/>
      <c r="E150" s="21" t="n"/>
      <c r="F150" s="28" t="n"/>
      <c r="G150" s="28" t="n"/>
      <c r="H150" s="26" t="n"/>
      <c r="I150" s="10">
        <f>IF(H150&lt;&gt;"",H150,IF(AND(F150&lt;&gt;"",G150&lt;&gt;""),ROUND((G150-F150)*1440,0),""))</f>
        <v/>
      </c>
      <c r="J150" s="26" t="n"/>
      <c r="K150" s="9">
        <f>IF(D150="","",IFERROR(VLOOKUP(D150,参数!$A$5:$C$24,2,0),""))</f>
        <v/>
      </c>
      <c r="L150" s="9">
        <f>IF(D150="","",IFERROR(VLOOKUP(D150,参数!$A$5:$C$24,3,0),""))</f>
        <v/>
      </c>
      <c r="M150" s="21" t="n"/>
      <c r="N150" s="21" t="n"/>
      <c r="O150" s="21" t="n"/>
    </row>
    <row r="151">
      <c r="A151" s="24" t="n"/>
      <c r="B151" s="21" t="n"/>
      <c r="C151" s="21" t="n"/>
      <c r="D151" s="21" t="n"/>
      <c r="E151" s="21" t="n"/>
      <c r="F151" s="28" t="n"/>
      <c r="G151" s="28" t="n"/>
      <c r="H151" s="26" t="n"/>
      <c r="I151" s="10">
        <f>IF(H151&lt;&gt;"",H151,IF(AND(F151&lt;&gt;"",G151&lt;&gt;""),ROUND((G151-F151)*1440,0),""))</f>
        <v/>
      </c>
      <c r="J151" s="26" t="n"/>
      <c r="K151" s="9">
        <f>IF(D151="","",IFERROR(VLOOKUP(D151,参数!$A$5:$C$24,2,0),""))</f>
        <v/>
      </c>
      <c r="L151" s="9">
        <f>IF(D151="","",IFERROR(VLOOKUP(D151,参数!$A$5:$C$24,3,0),""))</f>
        <v/>
      </c>
      <c r="M151" s="21" t="n"/>
      <c r="N151" s="21" t="n"/>
      <c r="O151" s="21" t="n"/>
    </row>
    <row r="152">
      <c r="A152" s="24" t="n"/>
      <c r="B152" s="21" t="n"/>
      <c r="C152" s="21" t="n"/>
      <c r="D152" s="21" t="n"/>
      <c r="E152" s="21" t="n"/>
      <c r="F152" s="28" t="n"/>
      <c r="G152" s="28" t="n"/>
      <c r="H152" s="26" t="n"/>
      <c r="I152" s="10">
        <f>IF(H152&lt;&gt;"",H152,IF(AND(F152&lt;&gt;"",G152&lt;&gt;""),ROUND((G152-F152)*1440,0),""))</f>
        <v/>
      </c>
      <c r="J152" s="26" t="n"/>
      <c r="K152" s="9">
        <f>IF(D152="","",IFERROR(VLOOKUP(D152,参数!$A$5:$C$24,2,0),""))</f>
        <v/>
      </c>
      <c r="L152" s="9">
        <f>IF(D152="","",IFERROR(VLOOKUP(D152,参数!$A$5:$C$24,3,0),""))</f>
        <v/>
      </c>
      <c r="M152" s="21" t="n"/>
      <c r="N152" s="21" t="n"/>
      <c r="O152" s="21" t="n"/>
    </row>
    <row r="153">
      <c r="A153" s="24" t="n"/>
      <c r="B153" s="21" t="n"/>
      <c r="C153" s="21" t="n"/>
      <c r="D153" s="21" t="n"/>
      <c r="E153" s="21" t="n"/>
      <c r="F153" s="28" t="n"/>
      <c r="G153" s="28" t="n"/>
      <c r="H153" s="26" t="n"/>
      <c r="I153" s="10">
        <f>IF(H153&lt;&gt;"",H153,IF(AND(F153&lt;&gt;"",G153&lt;&gt;""),ROUND((G153-F153)*1440,0),""))</f>
        <v/>
      </c>
      <c r="J153" s="26" t="n"/>
      <c r="K153" s="9">
        <f>IF(D153="","",IFERROR(VLOOKUP(D153,参数!$A$5:$C$24,2,0),""))</f>
        <v/>
      </c>
      <c r="L153" s="9">
        <f>IF(D153="","",IFERROR(VLOOKUP(D153,参数!$A$5:$C$24,3,0),""))</f>
        <v/>
      </c>
      <c r="M153" s="21" t="n"/>
      <c r="N153" s="21" t="n"/>
      <c r="O153" s="21" t="n"/>
    </row>
    <row r="154">
      <c r="A154" s="24" t="n"/>
      <c r="B154" s="21" t="n"/>
      <c r="C154" s="21" t="n"/>
      <c r="D154" s="21" t="n"/>
      <c r="E154" s="21" t="n"/>
      <c r="F154" s="28" t="n"/>
      <c r="G154" s="28" t="n"/>
      <c r="H154" s="26" t="n"/>
      <c r="I154" s="10">
        <f>IF(H154&lt;&gt;"",H154,IF(AND(F154&lt;&gt;"",G154&lt;&gt;""),ROUND((G154-F154)*1440,0),""))</f>
        <v/>
      </c>
      <c r="J154" s="26" t="n"/>
      <c r="K154" s="9">
        <f>IF(D154="","",IFERROR(VLOOKUP(D154,参数!$A$5:$C$24,2,0),""))</f>
        <v/>
      </c>
      <c r="L154" s="9">
        <f>IF(D154="","",IFERROR(VLOOKUP(D154,参数!$A$5:$C$24,3,0),""))</f>
        <v/>
      </c>
      <c r="M154" s="21" t="n"/>
      <c r="N154" s="21" t="n"/>
      <c r="O154" s="21" t="n"/>
    </row>
    <row r="155">
      <c r="A155" s="24" t="n"/>
      <c r="B155" s="21" t="n"/>
      <c r="C155" s="21" t="n"/>
      <c r="D155" s="21" t="n"/>
      <c r="E155" s="21" t="n"/>
      <c r="F155" s="28" t="n"/>
      <c r="G155" s="28" t="n"/>
      <c r="H155" s="26" t="n"/>
      <c r="I155" s="10">
        <f>IF(H155&lt;&gt;"",H155,IF(AND(F155&lt;&gt;"",G155&lt;&gt;""),ROUND((G155-F155)*1440,0),""))</f>
        <v/>
      </c>
      <c r="J155" s="26" t="n"/>
      <c r="K155" s="9">
        <f>IF(D155="","",IFERROR(VLOOKUP(D155,参数!$A$5:$C$24,2,0),""))</f>
        <v/>
      </c>
      <c r="L155" s="9">
        <f>IF(D155="","",IFERROR(VLOOKUP(D155,参数!$A$5:$C$24,3,0),""))</f>
        <v/>
      </c>
      <c r="M155" s="21" t="n"/>
      <c r="N155" s="21" t="n"/>
      <c r="O155" s="21" t="n"/>
    </row>
    <row r="156">
      <c r="A156" s="24" t="n"/>
      <c r="B156" s="21" t="n"/>
      <c r="C156" s="21" t="n"/>
      <c r="D156" s="21" t="n"/>
      <c r="E156" s="21" t="n"/>
      <c r="F156" s="28" t="n"/>
      <c r="G156" s="28" t="n"/>
      <c r="H156" s="26" t="n"/>
      <c r="I156" s="10">
        <f>IF(H156&lt;&gt;"",H156,IF(AND(F156&lt;&gt;"",G156&lt;&gt;""),ROUND((G156-F156)*1440,0),""))</f>
        <v/>
      </c>
      <c r="J156" s="26" t="n"/>
      <c r="K156" s="9">
        <f>IF(D156="","",IFERROR(VLOOKUP(D156,参数!$A$5:$C$24,2,0),""))</f>
        <v/>
      </c>
      <c r="L156" s="9">
        <f>IF(D156="","",IFERROR(VLOOKUP(D156,参数!$A$5:$C$24,3,0),""))</f>
        <v/>
      </c>
      <c r="M156" s="21" t="n"/>
      <c r="N156" s="21" t="n"/>
      <c r="O156" s="21" t="n"/>
    </row>
    <row r="157">
      <c r="A157" s="24" t="n"/>
      <c r="B157" s="21" t="n"/>
      <c r="C157" s="21" t="n"/>
      <c r="D157" s="21" t="n"/>
      <c r="E157" s="21" t="n"/>
      <c r="F157" s="28" t="n"/>
      <c r="G157" s="28" t="n"/>
      <c r="H157" s="26" t="n"/>
      <c r="I157" s="10">
        <f>IF(H157&lt;&gt;"",H157,IF(AND(F157&lt;&gt;"",G157&lt;&gt;""),ROUND((G157-F157)*1440,0),""))</f>
        <v/>
      </c>
      <c r="J157" s="26" t="n"/>
      <c r="K157" s="9">
        <f>IF(D157="","",IFERROR(VLOOKUP(D157,参数!$A$5:$C$24,2,0),""))</f>
        <v/>
      </c>
      <c r="L157" s="9">
        <f>IF(D157="","",IFERROR(VLOOKUP(D157,参数!$A$5:$C$24,3,0),""))</f>
        <v/>
      </c>
      <c r="M157" s="21" t="n"/>
      <c r="N157" s="21" t="n"/>
      <c r="O157" s="21" t="n"/>
    </row>
    <row r="158">
      <c r="A158" s="24" t="n"/>
      <c r="B158" s="21" t="n"/>
      <c r="C158" s="21" t="n"/>
      <c r="D158" s="21" t="n"/>
      <c r="E158" s="21" t="n"/>
      <c r="F158" s="28" t="n"/>
      <c r="G158" s="28" t="n"/>
      <c r="H158" s="26" t="n"/>
      <c r="I158" s="10">
        <f>IF(H158&lt;&gt;"",H158,IF(AND(F158&lt;&gt;"",G158&lt;&gt;""),ROUND((G158-F158)*1440,0),""))</f>
        <v/>
      </c>
      <c r="J158" s="26" t="n"/>
      <c r="K158" s="9">
        <f>IF(D158="","",IFERROR(VLOOKUP(D158,参数!$A$5:$C$24,2,0),""))</f>
        <v/>
      </c>
      <c r="L158" s="9">
        <f>IF(D158="","",IFERROR(VLOOKUP(D158,参数!$A$5:$C$24,3,0),""))</f>
        <v/>
      </c>
      <c r="M158" s="21" t="n"/>
      <c r="N158" s="21" t="n"/>
      <c r="O158" s="21" t="n"/>
    </row>
    <row r="159">
      <c r="A159" s="24" t="n"/>
      <c r="B159" s="21" t="n"/>
      <c r="C159" s="21" t="n"/>
      <c r="D159" s="21" t="n"/>
      <c r="E159" s="21" t="n"/>
      <c r="F159" s="28" t="n"/>
      <c r="G159" s="28" t="n"/>
      <c r="H159" s="26" t="n"/>
      <c r="I159" s="10">
        <f>IF(H159&lt;&gt;"",H159,IF(AND(F159&lt;&gt;"",G159&lt;&gt;""),ROUND((G159-F159)*1440,0),""))</f>
        <v/>
      </c>
      <c r="J159" s="26" t="n"/>
      <c r="K159" s="9">
        <f>IF(D159="","",IFERROR(VLOOKUP(D159,参数!$A$5:$C$24,2,0),""))</f>
        <v/>
      </c>
      <c r="L159" s="9">
        <f>IF(D159="","",IFERROR(VLOOKUP(D159,参数!$A$5:$C$24,3,0),""))</f>
        <v/>
      </c>
      <c r="M159" s="21" t="n"/>
      <c r="N159" s="21" t="n"/>
      <c r="O159" s="21" t="n"/>
    </row>
    <row r="160">
      <c r="A160" s="24" t="n"/>
      <c r="B160" s="21" t="n"/>
      <c r="C160" s="21" t="n"/>
      <c r="D160" s="21" t="n"/>
      <c r="E160" s="21" t="n"/>
      <c r="F160" s="28" t="n"/>
      <c r="G160" s="28" t="n"/>
      <c r="H160" s="26" t="n"/>
      <c r="I160" s="10">
        <f>IF(H160&lt;&gt;"",H160,IF(AND(F160&lt;&gt;"",G160&lt;&gt;""),ROUND((G160-F160)*1440,0),""))</f>
        <v/>
      </c>
      <c r="J160" s="26" t="n"/>
      <c r="K160" s="9">
        <f>IF(D160="","",IFERROR(VLOOKUP(D160,参数!$A$5:$C$24,2,0),""))</f>
        <v/>
      </c>
      <c r="L160" s="9">
        <f>IF(D160="","",IFERROR(VLOOKUP(D160,参数!$A$5:$C$24,3,0),""))</f>
        <v/>
      </c>
      <c r="M160" s="21" t="n"/>
      <c r="N160" s="21" t="n"/>
      <c r="O160" s="21" t="n"/>
    </row>
    <row r="161">
      <c r="A161" s="24" t="n"/>
      <c r="B161" s="21" t="n"/>
      <c r="C161" s="21" t="n"/>
      <c r="D161" s="21" t="n"/>
      <c r="E161" s="21" t="n"/>
      <c r="F161" s="28" t="n"/>
      <c r="G161" s="28" t="n"/>
      <c r="H161" s="26" t="n"/>
      <c r="I161" s="10">
        <f>IF(H161&lt;&gt;"",H161,IF(AND(F161&lt;&gt;"",G161&lt;&gt;""),ROUND((G161-F161)*1440,0),""))</f>
        <v/>
      </c>
      <c r="J161" s="26" t="n"/>
      <c r="K161" s="9">
        <f>IF(D161="","",IFERROR(VLOOKUP(D161,参数!$A$5:$C$24,2,0),""))</f>
        <v/>
      </c>
      <c r="L161" s="9">
        <f>IF(D161="","",IFERROR(VLOOKUP(D161,参数!$A$5:$C$24,3,0),""))</f>
        <v/>
      </c>
      <c r="M161" s="21" t="n"/>
      <c r="N161" s="21" t="n"/>
      <c r="O161" s="21" t="n"/>
    </row>
    <row r="162">
      <c r="A162" s="24" t="n"/>
      <c r="B162" s="21" t="n"/>
      <c r="C162" s="21" t="n"/>
      <c r="D162" s="21" t="n"/>
      <c r="E162" s="21" t="n"/>
      <c r="F162" s="28" t="n"/>
      <c r="G162" s="28" t="n"/>
      <c r="H162" s="26" t="n"/>
      <c r="I162" s="10">
        <f>IF(H162&lt;&gt;"",H162,IF(AND(F162&lt;&gt;"",G162&lt;&gt;""),ROUND((G162-F162)*1440,0),""))</f>
        <v/>
      </c>
      <c r="J162" s="26" t="n"/>
      <c r="K162" s="9">
        <f>IF(D162="","",IFERROR(VLOOKUP(D162,参数!$A$5:$C$24,2,0),""))</f>
        <v/>
      </c>
      <c r="L162" s="9">
        <f>IF(D162="","",IFERROR(VLOOKUP(D162,参数!$A$5:$C$24,3,0),""))</f>
        <v/>
      </c>
      <c r="M162" s="21" t="n"/>
      <c r="N162" s="21" t="n"/>
      <c r="O162" s="21" t="n"/>
    </row>
    <row r="163">
      <c r="A163" s="24" t="n"/>
      <c r="B163" s="21" t="n"/>
      <c r="C163" s="21" t="n"/>
      <c r="D163" s="21" t="n"/>
      <c r="E163" s="21" t="n"/>
      <c r="F163" s="28" t="n"/>
      <c r="G163" s="28" t="n"/>
      <c r="H163" s="26" t="n"/>
      <c r="I163" s="10">
        <f>IF(H163&lt;&gt;"",H163,IF(AND(F163&lt;&gt;"",G163&lt;&gt;""),ROUND((G163-F163)*1440,0),""))</f>
        <v/>
      </c>
      <c r="J163" s="26" t="n"/>
      <c r="K163" s="9">
        <f>IF(D163="","",IFERROR(VLOOKUP(D163,参数!$A$5:$C$24,2,0),""))</f>
        <v/>
      </c>
      <c r="L163" s="9">
        <f>IF(D163="","",IFERROR(VLOOKUP(D163,参数!$A$5:$C$24,3,0),""))</f>
        <v/>
      </c>
      <c r="M163" s="21" t="n"/>
      <c r="N163" s="21" t="n"/>
      <c r="O163" s="21" t="n"/>
    </row>
    <row r="164">
      <c r="A164" s="24" t="n"/>
      <c r="B164" s="21" t="n"/>
      <c r="C164" s="21" t="n"/>
      <c r="D164" s="21" t="n"/>
      <c r="E164" s="21" t="n"/>
      <c r="F164" s="28" t="n"/>
      <c r="G164" s="28" t="n"/>
      <c r="H164" s="26" t="n"/>
      <c r="I164" s="10">
        <f>IF(H164&lt;&gt;"",H164,IF(AND(F164&lt;&gt;"",G164&lt;&gt;""),ROUND((G164-F164)*1440,0),""))</f>
        <v/>
      </c>
      <c r="J164" s="26" t="n"/>
      <c r="K164" s="9">
        <f>IF(D164="","",IFERROR(VLOOKUP(D164,参数!$A$5:$C$24,2,0),""))</f>
        <v/>
      </c>
      <c r="L164" s="9">
        <f>IF(D164="","",IFERROR(VLOOKUP(D164,参数!$A$5:$C$24,3,0),""))</f>
        <v/>
      </c>
      <c r="M164" s="21" t="n"/>
      <c r="N164" s="21" t="n"/>
      <c r="O164" s="21" t="n"/>
    </row>
    <row r="165">
      <c r="A165" s="24" t="n"/>
      <c r="B165" s="21" t="n"/>
      <c r="C165" s="21" t="n"/>
      <c r="D165" s="21" t="n"/>
      <c r="E165" s="21" t="n"/>
      <c r="F165" s="28" t="n"/>
      <c r="G165" s="28" t="n"/>
      <c r="H165" s="26" t="n"/>
      <c r="I165" s="10">
        <f>IF(H165&lt;&gt;"",H165,IF(AND(F165&lt;&gt;"",G165&lt;&gt;""),ROUND((G165-F165)*1440,0),""))</f>
        <v/>
      </c>
      <c r="J165" s="26" t="n"/>
      <c r="K165" s="9">
        <f>IF(D165="","",IFERROR(VLOOKUP(D165,参数!$A$5:$C$24,2,0),""))</f>
        <v/>
      </c>
      <c r="L165" s="9">
        <f>IF(D165="","",IFERROR(VLOOKUP(D165,参数!$A$5:$C$24,3,0),""))</f>
        <v/>
      </c>
      <c r="M165" s="21" t="n"/>
      <c r="N165" s="21" t="n"/>
      <c r="O165" s="21" t="n"/>
    </row>
    <row r="166">
      <c r="A166" s="24" t="n"/>
      <c r="B166" s="21" t="n"/>
      <c r="C166" s="21" t="n"/>
      <c r="D166" s="21" t="n"/>
      <c r="E166" s="21" t="n"/>
      <c r="F166" s="28" t="n"/>
      <c r="G166" s="28" t="n"/>
      <c r="H166" s="26" t="n"/>
      <c r="I166" s="10">
        <f>IF(H166&lt;&gt;"",H166,IF(AND(F166&lt;&gt;"",G166&lt;&gt;""),ROUND((G166-F166)*1440,0),""))</f>
        <v/>
      </c>
      <c r="J166" s="26" t="n"/>
      <c r="K166" s="9">
        <f>IF(D166="","",IFERROR(VLOOKUP(D166,参数!$A$5:$C$24,2,0),""))</f>
        <v/>
      </c>
      <c r="L166" s="9">
        <f>IF(D166="","",IFERROR(VLOOKUP(D166,参数!$A$5:$C$24,3,0),""))</f>
        <v/>
      </c>
      <c r="M166" s="21" t="n"/>
      <c r="N166" s="21" t="n"/>
      <c r="O166" s="21" t="n"/>
    </row>
    <row r="167">
      <c r="A167" s="24" t="n"/>
      <c r="B167" s="21" t="n"/>
      <c r="C167" s="21" t="n"/>
      <c r="D167" s="21" t="n"/>
      <c r="E167" s="21" t="n"/>
      <c r="F167" s="28" t="n"/>
      <c r="G167" s="28" t="n"/>
      <c r="H167" s="26" t="n"/>
      <c r="I167" s="10">
        <f>IF(H167&lt;&gt;"",H167,IF(AND(F167&lt;&gt;"",G167&lt;&gt;""),ROUND((G167-F167)*1440,0),""))</f>
        <v/>
      </c>
      <c r="J167" s="26" t="n"/>
      <c r="K167" s="9">
        <f>IF(D167="","",IFERROR(VLOOKUP(D167,参数!$A$5:$C$24,2,0),""))</f>
        <v/>
      </c>
      <c r="L167" s="9">
        <f>IF(D167="","",IFERROR(VLOOKUP(D167,参数!$A$5:$C$24,3,0),""))</f>
        <v/>
      </c>
      <c r="M167" s="21" t="n"/>
      <c r="N167" s="21" t="n"/>
      <c r="O167" s="21" t="n"/>
    </row>
    <row r="168">
      <c r="A168" s="24" t="n"/>
      <c r="B168" s="21" t="n"/>
      <c r="C168" s="21" t="n"/>
      <c r="D168" s="21" t="n"/>
      <c r="E168" s="21" t="n"/>
      <c r="F168" s="28" t="n"/>
      <c r="G168" s="28" t="n"/>
      <c r="H168" s="26" t="n"/>
      <c r="I168" s="10">
        <f>IF(H168&lt;&gt;"",H168,IF(AND(F168&lt;&gt;"",G168&lt;&gt;""),ROUND((G168-F168)*1440,0),""))</f>
        <v/>
      </c>
      <c r="J168" s="26" t="n"/>
      <c r="K168" s="9">
        <f>IF(D168="","",IFERROR(VLOOKUP(D168,参数!$A$5:$C$24,2,0),""))</f>
        <v/>
      </c>
      <c r="L168" s="9">
        <f>IF(D168="","",IFERROR(VLOOKUP(D168,参数!$A$5:$C$24,3,0),""))</f>
        <v/>
      </c>
      <c r="M168" s="21" t="n"/>
      <c r="N168" s="21" t="n"/>
      <c r="O168" s="21" t="n"/>
    </row>
    <row r="169">
      <c r="A169" s="24" t="n"/>
      <c r="B169" s="21" t="n"/>
      <c r="C169" s="21" t="n"/>
      <c r="D169" s="21" t="n"/>
      <c r="E169" s="21" t="n"/>
      <c r="F169" s="28" t="n"/>
      <c r="G169" s="28" t="n"/>
      <c r="H169" s="26" t="n"/>
      <c r="I169" s="10">
        <f>IF(H169&lt;&gt;"",H169,IF(AND(F169&lt;&gt;"",G169&lt;&gt;""),ROUND((G169-F169)*1440,0),""))</f>
        <v/>
      </c>
      <c r="J169" s="26" t="n"/>
      <c r="K169" s="9">
        <f>IF(D169="","",IFERROR(VLOOKUP(D169,参数!$A$5:$C$24,2,0),""))</f>
        <v/>
      </c>
      <c r="L169" s="9">
        <f>IF(D169="","",IFERROR(VLOOKUP(D169,参数!$A$5:$C$24,3,0),""))</f>
        <v/>
      </c>
      <c r="M169" s="21" t="n"/>
      <c r="N169" s="21" t="n"/>
      <c r="O169" s="21" t="n"/>
    </row>
    <row r="170">
      <c r="A170" s="24" t="n"/>
      <c r="B170" s="21" t="n"/>
      <c r="C170" s="21" t="n"/>
      <c r="D170" s="21" t="n"/>
      <c r="E170" s="21" t="n"/>
      <c r="F170" s="28" t="n"/>
      <c r="G170" s="28" t="n"/>
      <c r="H170" s="26" t="n"/>
      <c r="I170" s="10">
        <f>IF(H170&lt;&gt;"",H170,IF(AND(F170&lt;&gt;"",G170&lt;&gt;""),ROUND((G170-F170)*1440,0),""))</f>
        <v/>
      </c>
      <c r="J170" s="26" t="n"/>
      <c r="K170" s="9">
        <f>IF(D170="","",IFERROR(VLOOKUP(D170,参数!$A$5:$C$24,2,0),""))</f>
        <v/>
      </c>
      <c r="L170" s="9">
        <f>IF(D170="","",IFERROR(VLOOKUP(D170,参数!$A$5:$C$24,3,0),""))</f>
        <v/>
      </c>
      <c r="M170" s="21" t="n"/>
      <c r="N170" s="21" t="n"/>
      <c r="O170" s="21" t="n"/>
    </row>
    <row r="171">
      <c r="A171" s="24" t="n"/>
      <c r="B171" s="21" t="n"/>
      <c r="C171" s="21" t="n"/>
      <c r="D171" s="21" t="n"/>
      <c r="E171" s="21" t="n"/>
      <c r="F171" s="28" t="n"/>
      <c r="G171" s="28" t="n"/>
      <c r="H171" s="26" t="n"/>
      <c r="I171" s="10">
        <f>IF(H171&lt;&gt;"",H171,IF(AND(F171&lt;&gt;"",G171&lt;&gt;""),ROUND((G171-F171)*1440,0),""))</f>
        <v/>
      </c>
      <c r="J171" s="26" t="n"/>
      <c r="K171" s="9">
        <f>IF(D171="","",IFERROR(VLOOKUP(D171,参数!$A$5:$C$24,2,0),""))</f>
        <v/>
      </c>
      <c r="L171" s="9">
        <f>IF(D171="","",IFERROR(VLOOKUP(D171,参数!$A$5:$C$24,3,0),""))</f>
        <v/>
      </c>
      <c r="M171" s="21" t="n"/>
      <c r="N171" s="21" t="n"/>
      <c r="O171" s="21" t="n"/>
    </row>
    <row r="172">
      <c r="A172" s="24" t="n"/>
      <c r="B172" s="21" t="n"/>
      <c r="C172" s="21" t="n"/>
      <c r="D172" s="21" t="n"/>
      <c r="E172" s="21" t="n"/>
      <c r="F172" s="28" t="n"/>
      <c r="G172" s="28" t="n"/>
      <c r="H172" s="26" t="n"/>
      <c r="I172" s="10">
        <f>IF(H172&lt;&gt;"",H172,IF(AND(F172&lt;&gt;"",G172&lt;&gt;""),ROUND((G172-F172)*1440,0),""))</f>
        <v/>
      </c>
      <c r="J172" s="26" t="n"/>
      <c r="K172" s="9">
        <f>IF(D172="","",IFERROR(VLOOKUP(D172,参数!$A$5:$C$24,2,0),""))</f>
        <v/>
      </c>
      <c r="L172" s="9">
        <f>IF(D172="","",IFERROR(VLOOKUP(D172,参数!$A$5:$C$24,3,0),""))</f>
        <v/>
      </c>
      <c r="M172" s="21" t="n"/>
      <c r="N172" s="21" t="n"/>
      <c r="O172" s="21" t="n"/>
    </row>
    <row r="173">
      <c r="A173" s="24" t="n"/>
      <c r="B173" s="21" t="n"/>
      <c r="C173" s="21" t="n"/>
      <c r="D173" s="21" t="n"/>
      <c r="E173" s="21" t="n"/>
      <c r="F173" s="28" t="n"/>
      <c r="G173" s="28" t="n"/>
      <c r="H173" s="26" t="n"/>
      <c r="I173" s="10">
        <f>IF(H173&lt;&gt;"",H173,IF(AND(F173&lt;&gt;"",G173&lt;&gt;""),ROUND((G173-F173)*1440,0),""))</f>
        <v/>
      </c>
      <c r="J173" s="26" t="n"/>
      <c r="K173" s="9">
        <f>IF(D173="","",IFERROR(VLOOKUP(D173,参数!$A$5:$C$24,2,0),""))</f>
        <v/>
      </c>
      <c r="L173" s="9">
        <f>IF(D173="","",IFERROR(VLOOKUP(D173,参数!$A$5:$C$24,3,0),""))</f>
        <v/>
      </c>
      <c r="M173" s="21" t="n"/>
      <c r="N173" s="21" t="n"/>
      <c r="O173" s="21" t="n"/>
    </row>
    <row r="174">
      <c r="A174" s="24" t="n"/>
      <c r="B174" s="21" t="n"/>
      <c r="C174" s="21" t="n"/>
      <c r="D174" s="21" t="n"/>
      <c r="E174" s="21" t="n"/>
      <c r="F174" s="28" t="n"/>
      <c r="G174" s="28" t="n"/>
      <c r="H174" s="26" t="n"/>
      <c r="I174" s="10">
        <f>IF(H174&lt;&gt;"",H174,IF(AND(F174&lt;&gt;"",G174&lt;&gt;""),ROUND((G174-F174)*1440,0),""))</f>
        <v/>
      </c>
      <c r="J174" s="26" t="n"/>
      <c r="K174" s="9">
        <f>IF(D174="","",IFERROR(VLOOKUP(D174,参数!$A$5:$C$24,2,0),""))</f>
        <v/>
      </c>
      <c r="L174" s="9">
        <f>IF(D174="","",IFERROR(VLOOKUP(D174,参数!$A$5:$C$24,3,0),""))</f>
        <v/>
      </c>
      <c r="M174" s="21" t="n"/>
      <c r="N174" s="21" t="n"/>
      <c r="O174" s="21" t="n"/>
    </row>
    <row r="175">
      <c r="A175" s="24" t="n"/>
      <c r="B175" s="21" t="n"/>
      <c r="C175" s="21" t="n"/>
      <c r="D175" s="21" t="n"/>
      <c r="E175" s="21" t="n"/>
      <c r="F175" s="28" t="n"/>
      <c r="G175" s="28" t="n"/>
      <c r="H175" s="26" t="n"/>
      <c r="I175" s="10">
        <f>IF(H175&lt;&gt;"",H175,IF(AND(F175&lt;&gt;"",G175&lt;&gt;""),ROUND((G175-F175)*1440,0),""))</f>
        <v/>
      </c>
      <c r="J175" s="26" t="n"/>
      <c r="K175" s="9">
        <f>IF(D175="","",IFERROR(VLOOKUP(D175,参数!$A$5:$C$24,2,0),""))</f>
        <v/>
      </c>
      <c r="L175" s="9">
        <f>IF(D175="","",IFERROR(VLOOKUP(D175,参数!$A$5:$C$24,3,0),""))</f>
        <v/>
      </c>
      <c r="M175" s="21" t="n"/>
      <c r="N175" s="21" t="n"/>
      <c r="O175" s="21" t="n"/>
    </row>
    <row r="176">
      <c r="A176" s="24" t="n"/>
      <c r="B176" s="21" t="n"/>
      <c r="C176" s="21" t="n"/>
      <c r="D176" s="21" t="n"/>
      <c r="E176" s="21" t="n"/>
      <c r="F176" s="28" t="n"/>
      <c r="G176" s="28" t="n"/>
      <c r="H176" s="26" t="n"/>
      <c r="I176" s="10">
        <f>IF(H176&lt;&gt;"",H176,IF(AND(F176&lt;&gt;"",G176&lt;&gt;""),ROUND((G176-F176)*1440,0),""))</f>
        <v/>
      </c>
      <c r="J176" s="26" t="n"/>
      <c r="K176" s="9">
        <f>IF(D176="","",IFERROR(VLOOKUP(D176,参数!$A$5:$C$24,2,0),""))</f>
        <v/>
      </c>
      <c r="L176" s="9">
        <f>IF(D176="","",IFERROR(VLOOKUP(D176,参数!$A$5:$C$24,3,0),""))</f>
        <v/>
      </c>
      <c r="M176" s="21" t="n"/>
      <c r="N176" s="21" t="n"/>
      <c r="O176" s="21" t="n"/>
    </row>
    <row r="177">
      <c r="A177" s="24" t="n"/>
      <c r="B177" s="21" t="n"/>
      <c r="C177" s="21" t="n"/>
      <c r="D177" s="21" t="n"/>
      <c r="E177" s="21" t="n"/>
      <c r="F177" s="28" t="n"/>
      <c r="G177" s="28" t="n"/>
      <c r="H177" s="26" t="n"/>
      <c r="I177" s="10">
        <f>IF(H177&lt;&gt;"",H177,IF(AND(F177&lt;&gt;"",G177&lt;&gt;""),ROUND((G177-F177)*1440,0),""))</f>
        <v/>
      </c>
      <c r="J177" s="26" t="n"/>
      <c r="K177" s="9">
        <f>IF(D177="","",IFERROR(VLOOKUP(D177,参数!$A$5:$C$24,2,0),""))</f>
        <v/>
      </c>
      <c r="L177" s="9">
        <f>IF(D177="","",IFERROR(VLOOKUP(D177,参数!$A$5:$C$24,3,0),""))</f>
        <v/>
      </c>
      <c r="M177" s="21" t="n"/>
      <c r="N177" s="21" t="n"/>
      <c r="O177" s="21" t="n"/>
    </row>
    <row r="178">
      <c r="A178" s="24" t="n"/>
      <c r="B178" s="21" t="n"/>
      <c r="C178" s="21" t="n"/>
      <c r="D178" s="21" t="n"/>
      <c r="E178" s="21" t="n"/>
      <c r="F178" s="28" t="n"/>
      <c r="G178" s="28" t="n"/>
      <c r="H178" s="26" t="n"/>
      <c r="I178" s="10">
        <f>IF(H178&lt;&gt;"",H178,IF(AND(F178&lt;&gt;"",G178&lt;&gt;""),ROUND((G178-F178)*1440,0),""))</f>
        <v/>
      </c>
      <c r="J178" s="26" t="n"/>
      <c r="K178" s="9">
        <f>IF(D178="","",IFERROR(VLOOKUP(D178,参数!$A$5:$C$24,2,0),""))</f>
        <v/>
      </c>
      <c r="L178" s="9">
        <f>IF(D178="","",IFERROR(VLOOKUP(D178,参数!$A$5:$C$24,3,0),""))</f>
        <v/>
      </c>
      <c r="M178" s="21" t="n"/>
      <c r="N178" s="21" t="n"/>
      <c r="O178" s="21" t="n"/>
    </row>
    <row r="179">
      <c r="A179" s="24" t="n"/>
      <c r="B179" s="21" t="n"/>
      <c r="C179" s="21" t="n"/>
      <c r="D179" s="21" t="n"/>
      <c r="E179" s="21" t="n"/>
      <c r="F179" s="28" t="n"/>
      <c r="G179" s="28" t="n"/>
      <c r="H179" s="26" t="n"/>
      <c r="I179" s="10">
        <f>IF(H179&lt;&gt;"",H179,IF(AND(F179&lt;&gt;"",G179&lt;&gt;""),ROUND((G179-F179)*1440,0),""))</f>
        <v/>
      </c>
      <c r="J179" s="26" t="n"/>
      <c r="K179" s="9">
        <f>IF(D179="","",IFERROR(VLOOKUP(D179,参数!$A$5:$C$24,2,0),""))</f>
        <v/>
      </c>
      <c r="L179" s="9">
        <f>IF(D179="","",IFERROR(VLOOKUP(D179,参数!$A$5:$C$24,3,0),""))</f>
        <v/>
      </c>
      <c r="M179" s="21" t="n"/>
      <c r="N179" s="21" t="n"/>
      <c r="O179" s="21" t="n"/>
    </row>
    <row r="180">
      <c r="A180" s="24" t="n"/>
      <c r="B180" s="21" t="n"/>
      <c r="C180" s="21" t="n"/>
      <c r="D180" s="21" t="n"/>
      <c r="E180" s="21" t="n"/>
      <c r="F180" s="28" t="n"/>
      <c r="G180" s="28" t="n"/>
      <c r="H180" s="26" t="n"/>
      <c r="I180" s="10">
        <f>IF(H180&lt;&gt;"",H180,IF(AND(F180&lt;&gt;"",G180&lt;&gt;""),ROUND((G180-F180)*1440,0),""))</f>
        <v/>
      </c>
      <c r="J180" s="26" t="n"/>
      <c r="K180" s="9">
        <f>IF(D180="","",IFERROR(VLOOKUP(D180,参数!$A$5:$C$24,2,0),""))</f>
        <v/>
      </c>
      <c r="L180" s="9">
        <f>IF(D180="","",IFERROR(VLOOKUP(D180,参数!$A$5:$C$24,3,0),""))</f>
        <v/>
      </c>
      <c r="M180" s="21" t="n"/>
      <c r="N180" s="21" t="n"/>
      <c r="O180" s="21" t="n"/>
    </row>
    <row r="181">
      <c r="A181" s="24" t="n"/>
      <c r="B181" s="21" t="n"/>
      <c r="C181" s="21" t="n"/>
      <c r="D181" s="21" t="n"/>
      <c r="E181" s="21" t="n"/>
      <c r="F181" s="28" t="n"/>
      <c r="G181" s="28" t="n"/>
      <c r="H181" s="26" t="n"/>
      <c r="I181" s="10">
        <f>IF(H181&lt;&gt;"",H181,IF(AND(F181&lt;&gt;"",G181&lt;&gt;""),ROUND((G181-F181)*1440,0),""))</f>
        <v/>
      </c>
      <c r="J181" s="26" t="n"/>
      <c r="K181" s="9">
        <f>IF(D181="","",IFERROR(VLOOKUP(D181,参数!$A$5:$C$24,2,0),""))</f>
        <v/>
      </c>
      <c r="L181" s="9">
        <f>IF(D181="","",IFERROR(VLOOKUP(D181,参数!$A$5:$C$24,3,0),""))</f>
        <v/>
      </c>
      <c r="M181" s="21" t="n"/>
      <c r="N181" s="21" t="n"/>
      <c r="O181" s="21" t="n"/>
    </row>
    <row r="182">
      <c r="A182" s="24" t="n"/>
      <c r="B182" s="21" t="n"/>
      <c r="C182" s="21" t="n"/>
      <c r="D182" s="21" t="n"/>
      <c r="E182" s="21" t="n"/>
      <c r="F182" s="28" t="n"/>
      <c r="G182" s="28" t="n"/>
      <c r="H182" s="26" t="n"/>
      <c r="I182" s="10">
        <f>IF(H182&lt;&gt;"",H182,IF(AND(F182&lt;&gt;"",G182&lt;&gt;""),ROUND((G182-F182)*1440,0),""))</f>
        <v/>
      </c>
      <c r="J182" s="26" t="n"/>
      <c r="K182" s="9">
        <f>IF(D182="","",IFERROR(VLOOKUP(D182,参数!$A$5:$C$24,2,0),""))</f>
        <v/>
      </c>
      <c r="L182" s="9">
        <f>IF(D182="","",IFERROR(VLOOKUP(D182,参数!$A$5:$C$24,3,0),""))</f>
        <v/>
      </c>
      <c r="M182" s="21" t="n"/>
      <c r="N182" s="21" t="n"/>
      <c r="O182" s="21" t="n"/>
    </row>
    <row r="183">
      <c r="A183" s="24" t="n"/>
      <c r="B183" s="21" t="n"/>
      <c r="C183" s="21" t="n"/>
      <c r="D183" s="21" t="n"/>
      <c r="E183" s="21" t="n"/>
      <c r="F183" s="28" t="n"/>
      <c r="G183" s="28" t="n"/>
      <c r="H183" s="26" t="n"/>
      <c r="I183" s="10">
        <f>IF(H183&lt;&gt;"",H183,IF(AND(F183&lt;&gt;"",G183&lt;&gt;""),ROUND((G183-F183)*1440,0),""))</f>
        <v/>
      </c>
      <c r="J183" s="26" t="n"/>
      <c r="K183" s="9">
        <f>IF(D183="","",IFERROR(VLOOKUP(D183,参数!$A$5:$C$24,2,0),""))</f>
        <v/>
      </c>
      <c r="L183" s="9">
        <f>IF(D183="","",IFERROR(VLOOKUP(D183,参数!$A$5:$C$24,3,0),""))</f>
        <v/>
      </c>
      <c r="M183" s="21" t="n"/>
      <c r="N183" s="21" t="n"/>
      <c r="O183" s="21" t="n"/>
    </row>
    <row r="184">
      <c r="A184" s="24" t="n"/>
      <c r="B184" s="21" t="n"/>
      <c r="C184" s="21" t="n"/>
      <c r="D184" s="21" t="n"/>
      <c r="E184" s="21" t="n"/>
      <c r="F184" s="28" t="n"/>
      <c r="G184" s="28" t="n"/>
      <c r="H184" s="26" t="n"/>
      <c r="I184" s="10">
        <f>IF(H184&lt;&gt;"",H184,IF(AND(F184&lt;&gt;"",G184&lt;&gt;""),ROUND((G184-F184)*1440,0),""))</f>
        <v/>
      </c>
      <c r="J184" s="26" t="n"/>
      <c r="K184" s="9">
        <f>IF(D184="","",IFERROR(VLOOKUP(D184,参数!$A$5:$C$24,2,0),""))</f>
        <v/>
      </c>
      <c r="L184" s="9">
        <f>IF(D184="","",IFERROR(VLOOKUP(D184,参数!$A$5:$C$24,3,0),""))</f>
        <v/>
      </c>
      <c r="M184" s="21" t="n"/>
      <c r="N184" s="21" t="n"/>
      <c r="O184" s="21" t="n"/>
    </row>
    <row r="185">
      <c r="A185" s="24" t="n"/>
      <c r="B185" s="21" t="n"/>
      <c r="C185" s="21" t="n"/>
      <c r="D185" s="21" t="n"/>
      <c r="E185" s="21" t="n"/>
      <c r="F185" s="28" t="n"/>
      <c r="G185" s="28" t="n"/>
      <c r="H185" s="26" t="n"/>
      <c r="I185" s="10">
        <f>IF(H185&lt;&gt;"",H185,IF(AND(F185&lt;&gt;"",G185&lt;&gt;""),ROUND((G185-F185)*1440,0),""))</f>
        <v/>
      </c>
      <c r="J185" s="26" t="n"/>
      <c r="K185" s="9">
        <f>IF(D185="","",IFERROR(VLOOKUP(D185,参数!$A$5:$C$24,2,0),""))</f>
        <v/>
      </c>
      <c r="L185" s="9">
        <f>IF(D185="","",IFERROR(VLOOKUP(D185,参数!$A$5:$C$24,3,0),""))</f>
        <v/>
      </c>
      <c r="M185" s="21" t="n"/>
      <c r="N185" s="21" t="n"/>
      <c r="O185" s="21" t="n"/>
    </row>
    <row r="186">
      <c r="A186" s="24" t="n"/>
      <c r="B186" s="21" t="n"/>
      <c r="C186" s="21" t="n"/>
      <c r="D186" s="21" t="n"/>
      <c r="E186" s="21" t="n"/>
      <c r="F186" s="28" t="n"/>
      <c r="G186" s="28" t="n"/>
      <c r="H186" s="26" t="n"/>
      <c r="I186" s="10">
        <f>IF(H186&lt;&gt;"",H186,IF(AND(F186&lt;&gt;"",G186&lt;&gt;""),ROUND((G186-F186)*1440,0),""))</f>
        <v/>
      </c>
      <c r="J186" s="26" t="n"/>
      <c r="K186" s="9">
        <f>IF(D186="","",IFERROR(VLOOKUP(D186,参数!$A$5:$C$24,2,0),""))</f>
        <v/>
      </c>
      <c r="L186" s="9">
        <f>IF(D186="","",IFERROR(VLOOKUP(D186,参数!$A$5:$C$24,3,0),""))</f>
        <v/>
      </c>
      <c r="M186" s="21" t="n"/>
      <c r="N186" s="21" t="n"/>
      <c r="O186" s="21" t="n"/>
    </row>
    <row r="187">
      <c r="A187" s="24" t="n"/>
      <c r="B187" s="21" t="n"/>
      <c r="C187" s="21" t="n"/>
      <c r="D187" s="21" t="n"/>
      <c r="E187" s="21" t="n"/>
      <c r="F187" s="28" t="n"/>
      <c r="G187" s="28" t="n"/>
      <c r="H187" s="26" t="n"/>
      <c r="I187" s="10">
        <f>IF(H187&lt;&gt;"",H187,IF(AND(F187&lt;&gt;"",G187&lt;&gt;""),ROUND((G187-F187)*1440,0),""))</f>
        <v/>
      </c>
      <c r="J187" s="26" t="n"/>
      <c r="K187" s="9">
        <f>IF(D187="","",IFERROR(VLOOKUP(D187,参数!$A$5:$C$24,2,0),""))</f>
        <v/>
      </c>
      <c r="L187" s="9">
        <f>IF(D187="","",IFERROR(VLOOKUP(D187,参数!$A$5:$C$24,3,0),""))</f>
        <v/>
      </c>
      <c r="M187" s="21" t="n"/>
      <c r="N187" s="21" t="n"/>
      <c r="O187" s="21" t="n"/>
    </row>
    <row r="188">
      <c r="A188" s="24" t="n"/>
      <c r="B188" s="21" t="n"/>
      <c r="C188" s="21" t="n"/>
      <c r="D188" s="21" t="n"/>
      <c r="E188" s="21" t="n"/>
      <c r="F188" s="28" t="n"/>
      <c r="G188" s="28" t="n"/>
      <c r="H188" s="26" t="n"/>
      <c r="I188" s="10">
        <f>IF(H188&lt;&gt;"",H188,IF(AND(F188&lt;&gt;"",G188&lt;&gt;""),ROUND((G188-F188)*1440,0),""))</f>
        <v/>
      </c>
      <c r="J188" s="26" t="n"/>
      <c r="K188" s="9">
        <f>IF(D188="","",IFERROR(VLOOKUP(D188,参数!$A$5:$C$24,2,0),""))</f>
        <v/>
      </c>
      <c r="L188" s="9">
        <f>IF(D188="","",IFERROR(VLOOKUP(D188,参数!$A$5:$C$24,3,0),""))</f>
        <v/>
      </c>
      <c r="M188" s="21" t="n"/>
      <c r="N188" s="21" t="n"/>
      <c r="O188" s="21" t="n"/>
    </row>
    <row r="189">
      <c r="A189" s="24" t="n"/>
      <c r="B189" s="21" t="n"/>
      <c r="C189" s="21" t="n"/>
      <c r="D189" s="21" t="n"/>
      <c r="E189" s="21" t="n"/>
      <c r="F189" s="28" t="n"/>
      <c r="G189" s="28" t="n"/>
      <c r="H189" s="26" t="n"/>
      <c r="I189" s="10">
        <f>IF(H189&lt;&gt;"",H189,IF(AND(F189&lt;&gt;"",G189&lt;&gt;""),ROUND((G189-F189)*1440,0),""))</f>
        <v/>
      </c>
      <c r="J189" s="26" t="n"/>
      <c r="K189" s="9">
        <f>IF(D189="","",IFERROR(VLOOKUP(D189,参数!$A$5:$C$24,2,0),""))</f>
        <v/>
      </c>
      <c r="L189" s="9">
        <f>IF(D189="","",IFERROR(VLOOKUP(D189,参数!$A$5:$C$24,3,0),""))</f>
        <v/>
      </c>
      <c r="M189" s="21" t="n"/>
      <c r="N189" s="21" t="n"/>
      <c r="O189" s="21" t="n"/>
    </row>
    <row r="190">
      <c r="A190" s="24" t="n"/>
      <c r="B190" s="21" t="n"/>
      <c r="C190" s="21" t="n"/>
      <c r="D190" s="21" t="n"/>
      <c r="E190" s="21" t="n"/>
      <c r="F190" s="28" t="n"/>
      <c r="G190" s="28" t="n"/>
      <c r="H190" s="26" t="n"/>
      <c r="I190" s="10">
        <f>IF(H190&lt;&gt;"",H190,IF(AND(F190&lt;&gt;"",G190&lt;&gt;""),ROUND((G190-F190)*1440,0),""))</f>
        <v/>
      </c>
      <c r="J190" s="26" t="n"/>
      <c r="K190" s="9">
        <f>IF(D190="","",IFERROR(VLOOKUP(D190,参数!$A$5:$C$24,2,0),""))</f>
        <v/>
      </c>
      <c r="L190" s="9">
        <f>IF(D190="","",IFERROR(VLOOKUP(D190,参数!$A$5:$C$24,3,0),""))</f>
        <v/>
      </c>
      <c r="M190" s="21" t="n"/>
      <c r="N190" s="21" t="n"/>
      <c r="O190" s="21" t="n"/>
    </row>
    <row r="191">
      <c r="A191" s="24" t="n"/>
      <c r="B191" s="21" t="n"/>
      <c r="C191" s="21" t="n"/>
      <c r="D191" s="21" t="n"/>
      <c r="E191" s="21" t="n"/>
      <c r="F191" s="28" t="n"/>
      <c r="G191" s="28" t="n"/>
      <c r="H191" s="26" t="n"/>
      <c r="I191" s="10">
        <f>IF(H191&lt;&gt;"",H191,IF(AND(F191&lt;&gt;"",G191&lt;&gt;""),ROUND((G191-F191)*1440,0),""))</f>
        <v/>
      </c>
      <c r="J191" s="26" t="n"/>
      <c r="K191" s="9">
        <f>IF(D191="","",IFERROR(VLOOKUP(D191,参数!$A$5:$C$24,2,0),""))</f>
        <v/>
      </c>
      <c r="L191" s="9">
        <f>IF(D191="","",IFERROR(VLOOKUP(D191,参数!$A$5:$C$24,3,0),""))</f>
        <v/>
      </c>
      <c r="M191" s="21" t="n"/>
      <c r="N191" s="21" t="n"/>
      <c r="O191" s="21" t="n"/>
    </row>
    <row r="192">
      <c r="A192" s="24" t="n"/>
      <c r="B192" s="21" t="n"/>
      <c r="C192" s="21" t="n"/>
      <c r="D192" s="21" t="n"/>
      <c r="E192" s="21" t="n"/>
      <c r="F192" s="28" t="n"/>
      <c r="G192" s="28" t="n"/>
      <c r="H192" s="26" t="n"/>
      <c r="I192" s="10">
        <f>IF(H192&lt;&gt;"",H192,IF(AND(F192&lt;&gt;"",G192&lt;&gt;""),ROUND((G192-F192)*1440,0),""))</f>
        <v/>
      </c>
      <c r="J192" s="26" t="n"/>
      <c r="K192" s="9">
        <f>IF(D192="","",IFERROR(VLOOKUP(D192,参数!$A$5:$C$24,2,0),""))</f>
        <v/>
      </c>
      <c r="L192" s="9">
        <f>IF(D192="","",IFERROR(VLOOKUP(D192,参数!$A$5:$C$24,3,0),""))</f>
        <v/>
      </c>
      <c r="M192" s="21" t="n"/>
      <c r="N192" s="21" t="n"/>
      <c r="O192" s="21" t="n"/>
    </row>
    <row r="193">
      <c r="A193" s="24" t="n"/>
      <c r="B193" s="21" t="n"/>
      <c r="C193" s="21" t="n"/>
      <c r="D193" s="21" t="n"/>
      <c r="E193" s="21" t="n"/>
      <c r="F193" s="28" t="n"/>
      <c r="G193" s="28" t="n"/>
      <c r="H193" s="26" t="n"/>
      <c r="I193" s="10">
        <f>IF(H193&lt;&gt;"",H193,IF(AND(F193&lt;&gt;"",G193&lt;&gt;""),ROUND((G193-F193)*1440,0),""))</f>
        <v/>
      </c>
      <c r="J193" s="26" t="n"/>
      <c r="K193" s="9">
        <f>IF(D193="","",IFERROR(VLOOKUP(D193,参数!$A$5:$C$24,2,0),""))</f>
        <v/>
      </c>
      <c r="L193" s="9">
        <f>IF(D193="","",IFERROR(VLOOKUP(D193,参数!$A$5:$C$24,3,0),""))</f>
        <v/>
      </c>
      <c r="M193" s="21" t="n"/>
      <c r="N193" s="21" t="n"/>
      <c r="O193" s="21" t="n"/>
    </row>
    <row r="194">
      <c r="A194" s="24" t="n"/>
      <c r="B194" s="21" t="n"/>
      <c r="C194" s="21" t="n"/>
      <c r="D194" s="21" t="n"/>
      <c r="E194" s="21" t="n"/>
      <c r="F194" s="28" t="n"/>
      <c r="G194" s="28" t="n"/>
      <c r="H194" s="26" t="n"/>
      <c r="I194" s="10">
        <f>IF(H194&lt;&gt;"",H194,IF(AND(F194&lt;&gt;"",G194&lt;&gt;""),ROUND((G194-F194)*1440,0),""))</f>
        <v/>
      </c>
      <c r="J194" s="26" t="n"/>
      <c r="K194" s="9">
        <f>IF(D194="","",IFERROR(VLOOKUP(D194,参数!$A$5:$C$24,2,0),""))</f>
        <v/>
      </c>
      <c r="L194" s="9">
        <f>IF(D194="","",IFERROR(VLOOKUP(D194,参数!$A$5:$C$24,3,0),""))</f>
        <v/>
      </c>
      <c r="M194" s="21" t="n"/>
      <c r="N194" s="21" t="n"/>
      <c r="O194" s="21" t="n"/>
    </row>
    <row r="195">
      <c r="A195" s="24" t="n"/>
      <c r="B195" s="21" t="n"/>
      <c r="C195" s="21" t="n"/>
      <c r="D195" s="21" t="n"/>
      <c r="E195" s="21" t="n"/>
      <c r="F195" s="28" t="n"/>
      <c r="G195" s="28" t="n"/>
      <c r="H195" s="26" t="n"/>
      <c r="I195" s="10">
        <f>IF(H195&lt;&gt;"",H195,IF(AND(F195&lt;&gt;"",G195&lt;&gt;""),ROUND((G195-F195)*1440,0),""))</f>
        <v/>
      </c>
      <c r="J195" s="26" t="n"/>
      <c r="K195" s="9">
        <f>IF(D195="","",IFERROR(VLOOKUP(D195,参数!$A$5:$C$24,2,0),""))</f>
        <v/>
      </c>
      <c r="L195" s="9">
        <f>IF(D195="","",IFERROR(VLOOKUP(D195,参数!$A$5:$C$24,3,0),""))</f>
        <v/>
      </c>
      <c r="M195" s="21" t="n"/>
      <c r="N195" s="21" t="n"/>
      <c r="O195" s="21" t="n"/>
    </row>
    <row r="196">
      <c r="A196" s="24" t="n"/>
      <c r="B196" s="21" t="n"/>
      <c r="C196" s="21" t="n"/>
      <c r="D196" s="21" t="n"/>
      <c r="E196" s="21" t="n"/>
      <c r="F196" s="28" t="n"/>
      <c r="G196" s="28" t="n"/>
      <c r="H196" s="26" t="n"/>
      <c r="I196" s="10">
        <f>IF(H196&lt;&gt;"",H196,IF(AND(F196&lt;&gt;"",G196&lt;&gt;""),ROUND((G196-F196)*1440,0),""))</f>
        <v/>
      </c>
      <c r="J196" s="26" t="n"/>
      <c r="K196" s="9">
        <f>IF(D196="","",IFERROR(VLOOKUP(D196,参数!$A$5:$C$24,2,0),""))</f>
        <v/>
      </c>
      <c r="L196" s="9">
        <f>IF(D196="","",IFERROR(VLOOKUP(D196,参数!$A$5:$C$24,3,0),""))</f>
        <v/>
      </c>
      <c r="M196" s="21" t="n"/>
      <c r="N196" s="21" t="n"/>
      <c r="O196" s="21" t="n"/>
    </row>
    <row r="197">
      <c r="A197" s="24" t="n"/>
      <c r="B197" s="21" t="n"/>
      <c r="C197" s="21" t="n"/>
      <c r="D197" s="21" t="n"/>
      <c r="E197" s="21" t="n"/>
      <c r="F197" s="28" t="n"/>
      <c r="G197" s="28" t="n"/>
      <c r="H197" s="26" t="n"/>
      <c r="I197" s="10">
        <f>IF(H197&lt;&gt;"",H197,IF(AND(F197&lt;&gt;"",G197&lt;&gt;""),ROUND((G197-F197)*1440,0),""))</f>
        <v/>
      </c>
      <c r="J197" s="26" t="n"/>
      <c r="K197" s="9">
        <f>IF(D197="","",IFERROR(VLOOKUP(D197,参数!$A$5:$C$24,2,0),""))</f>
        <v/>
      </c>
      <c r="L197" s="9">
        <f>IF(D197="","",IFERROR(VLOOKUP(D197,参数!$A$5:$C$24,3,0),""))</f>
        <v/>
      </c>
      <c r="M197" s="21" t="n"/>
      <c r="N197" s="21" t="n"/>
      <c r="O197" s="21" t="n"/>
    </row>
    <row r="198">
      <c r="A198" s="24" t="n"/>
      <c r="B198" s="21" t="n"/>
      <c r="C198" s="21" t="n"/>
      <c r="D198" s="21" t="n"/>
      <c r="E198" s="21" t="n"/>
      <c r="F198" s="28" t="n"/>
      <c r="G198" s="28" t="n"/>
      <c r="H198" s="26" t="n"/>
      <c r="I198" s="10">
        <f>IF(H198&lt;&gt;"",H198,IF(AND(F198&lt;&gt;"",G198&lt;&gt;""),ROUND((G198-F198)*1440,0),""))</f>
        <v/>
      </c>
      <c r="J198" s="26" t="n"/>
      <c r="K198" s="9">
        <f>IF(D198="","",IFERROR(VLOOKUP(D198,参数!$A$5:$C$24,2,0),""))</f>
        <v/>
      </c>
      <c r="L198" s="9">
        <f>IF(D198="","",IFERROR(VLOOKUP(D198,参数!$A$5:$C$24,3,0),""))</f>
        <v/>
      </c>
      <c r="M198" s="21" t="n"/>
      <c r="N198" s="21" t="n"/>
      <c r="O198" s="21" t="n"/>
    </row>
    <row r="199">
      <c r="A199" s="24" t="n"/>
      <c r="B199" s="21" t="n"/>
      <c r="C199" s="21" t="n"/>
      <c r="D199" s="21" t="n"/>
      <c r="E199" s="21" t="n"/>
      <c r="F199" s="28" t="n"/>
      <c r="G199" s="28" t="n"/>
      <c r="H199" s="26" t="n"/>
      <c r="I199" s="10">
        <f>IF(H199&lt;&gt;"",H199,IF(AND(F199&lt;&gt;"",G199&lt;&gt;""),ROUND((G199-F199)*1440,0),""))</f>
        <v/>
      </c>
      <c r="J199" s="26" t="n"/>
      <c r="K199" s="9">
        <f>IF(D199="","",IFERROR(VLOOKUP(D199,参数!$A$5:$C$24,2,0),""))</f>
        <v/>
      </c>
      <c r="L199" s="9">
        <f>IF(D199="","",IFERROR(VLOOKUP(D199,参数!$A$5:$C$24,3,0),""))</f>
        <v/>
      </c>
      <c r="M199" s="21" t="n"/>
      <c r="N199" s="21" t="n"/>
      <c r="O199" s="21" t="n"/>
    </row>
    <row r="200">
      <c r="A200" s="24" t="n"/>
      <c r="B200" s="21" t="n"/>
      <c r="C200" s="21" t="n"/>
      <c r="D200" s="21" t="n"/>
      <c r="E200" s="21" t="n"/>
      <c r="F200" s="28" t="n"/>
      <c r="G200" s="28" t="n"/>
      <c r="H200" s="26" t="n"/>
      <c r="I200" s="10">
        <f>IF(H200&lt;&gt;"",H200,IF(AND(F200&lt;&gt;"",G200&lt;&gt;""),ROUND((G200-F200)*1440,0),""))</f>
        <v/>
      </c>
      <c r="J200" s="26" t="n"/>
      <c r="K200" s="9">
        <f>IF(D200="","",IFERROR(VLOOKUP(D200,参数!$A$5:$C$24,2,0),""))</f>
        <v/>
      </c>
      <c r="L200" s="9">
        <f>IF(D200="","",IFERROR(VLOOKUP(D200,参数!$A$5:$C$24,3,0),""))</f>
        <v/>
      </c>
      <c r="M200" s="21" t="n"/>
      <c r="N200" s="21" t="n"/>
      <c r="O200" s="21" t="n"/>
    </row>
    <row r="201">
      <c r="A201" s="24" t="n"/>
      <c r="B201" s="21" t="n"/>
      <c r="C201" s="21" t="n"/>
      <c r="D201" s="21" t="n"/>
      <c r="E201" s="21" t="n"/>
      <c r="F201" s="28" t="n"/>
      <c r="G201" s="28" t="n"/>
      <c r="H201" s="26" t="n"/>
      <c r="I201" s="10">
        <f>IF(H201&lt;&gt;"",H201,IF(AND(F201&lt;&gt;"",G201&lt;&gt;""),ROUND((G201-F201)*1440,0),""))</f>
        <v/>
      </c>
      <c r="J201" s="26" t="n"/>
      <c r="K201" s="9">
        <f>IF(D201="","",IFERROR(VLOOKUP(D201,参数!$A$5:$C$24,2,0),""))</f>
        <v/>
      </c>
      <c r="L201" s="9">
        <f>IF(D201="","",IFERROR(VLOOKUP(D201,参数!$A$5:$C$24,3,0),""))</f>
        <v/>
      </c>
      <c r="M201" s="21" t="n"/>
      <c r="N201" s="21" t="n"/>
      <c r="O201" s="21" t="n"/>
    </row>
    <row r="202">
      <c r="A202" s="24" t="n"/>
      <c r="B202" s="21" t="n"/>
      <c r="C202" s="21" t="n"/>
      <c r="D202" s="21" t="n"/>
      <c r="E202" s="21" t="n"/>
      <c r="F202" s="28" t="n"/>
      <c r="G202" s="28" t="n"/>
      <c r="H202" s="26" t="n"/>
      <c r="I202" s="10">
        <f>IF(H202&lt;&gt;"",H202,IF(AND(F202&lt;&gt;"",G202&lt;&gt;""),ROUND((G202-F202)*1440,0),""))</f>
        <v/>
      </c>
      <c r="J202" s="26" t="n"/>
      <c r="K202" s="9">
        <f>IF(D202="","",IFERROR(VLOOKUP(D202,参数!$A$5:$C$24,2,0),""))</f>
        <v/>
      </c>
      <c r="L202" s="9">
        <f>IF(D202="","",IFERROR(VLOOKUP(D202,参数!$A$5:$C$24,3,0),""))</f>
        <v/>
      </c>
      <c r="M202" s="21" t="n"/>
      <c r="N202" s="21" t="n"/>
      <c r="O202" s="21" t="n"/>
    </row>
    <row r="203">
      <c r="A203" s="24" t="n"/>
      <c r="B203" s="21" t="n"/>
      <c r="C203" s="21" t="n"/>
      <c r="D203" s="21" t="n"/>
      <c r="E203" s="21" t="n"/>
      <c r="F203" s="28" t="n"/>
      <c r="G203" s="28" t="n"/>
      <c r="H203" s="26" t="n"/>
      <c r="I203" s="10">
        <f>IF(H203&lt;&gt;"",H203,IF(AND(F203&lt;&gt;"",G203&lt;&gt;""),ROUND((G203-F203)*1440,0),""))</f>
        <v/>
      </c>
      <c r="J203" s="26" t="n"/>
      <c r="K203" s="9">
        <f>IF(D203="","",IFERROR(VLOOKUP(D203,参数!$A$5:$C$24,2,0),""))</f>
        <v/>
      </c>
      <c r="L203" s="9">
        <f>IF(D203="","",IFERROR(VLOOKUP(D203,参数!$A$5:$C$24,3,0),""))</f>
        <v/>
      </c>
      <c r="M203" s="21" t="n"/>
      <c r="N203" s="21" t="n"/>
      <c r="O203" s="21" t="n"/>
    </row>
    <row r="204">
      <c r="A204" s="24" t="n"/>
      <c r="B204" s="21" t="n"/>
      <c r="C204" s="21" t="n"/>
      <c r="D204" s="21" t="n"/>
      <c r="E204" s="21" t="n"/>
      <c r="F204" s="28" t="n"/>
      <c r="G204" s="28" t="n"/>
      <c r="H204" s="26" t="n"/>
      <c r="I204" s="10">
        <f>IF(H204&lt;&gt;"",H204,IF(AND(F204&lt;&gt;"",G204&lt;&gt;""),ROUND((G204-F204)*1440,0),""))</f>
        <v/>
      </c>
      <c r="J204" s="26" t="n"/>
      <c r="K204" s="9">
        <f>IF(D204="","",IFERROR(VLOOKUP(D204,参数!$A$5:$C$24,2,0),""))</f>
        <v/>
      </c>
      <c r="L204" s="9">
        <f>IF(D204="","",IFERROR(VLOOKUP(D204,参数!$A$5:$C$24,3,0),""))</f>
        <v/>
      </c>
      <c r="M204" s="21" t="n"/>
      <c r="N204" s="21" t="n"/>
      <c r="O204" s="21" t="n"/>
    </row>
    <row r="205">
      <c r="A205" s="24" t="n"/>
      <c r="B205" s="21" t="n"/>
      <c r="C205" s="21" t="n"/>
      <c r="D205" s="21" t="n"/>
      <c r="E205" s="21" t="n"/>
      <c r="F205" s="28" t="n"/>
      <c r="G205" s="28" t="n"/>
      <c r="H205" s="26" t="n"/>
      <c r="I205" s="10">
        <f>IF(H205&lt;&gt;"",H205,IF(AND(F205&lt;&gt;"",G205&lt;&gt;""),ROUND((G205-F205)*1440,0),""))</f>
        <v/>
      </c>
      <c r="J205" s="26" t="n"/>
      <c r="K205" s="9">
        <f>IF(D205="","",IFERROR(VLOOKUP(D205,参数!$A$5:$C$24,2,0),""))</f>
        <v/>
      </c>
      <c r="L205" s="9">
        <f>IF(D205="","",IFERROR(VLOOKUP(D205,参数!$A$5:$C$24,3,0),""))</f>
        <v/>
      </c>
      <c r="M205" s="21" t="n"/>
      <c r="N205" s="21" t="n"/>
      <c r="O205" s="21" t="n"/>
    </row>
    <row r="206">
      <c r="A206" s="24" t="n"/>
      <c r="B206" s="21" t="n"/>
      <c r="C206" s="21" t="n"/>
      <c r="D206" s="21" t="n"/>
      <c r="E206" s="21" t="n"/>
      <c r="F206" s="28" t="n"/>
      <c r="G206" s="28" t="n"/>
      <c r="H206" s="26" t="n"/>
      <c r="I206" s="10">
        <f>IF(H206&lt;&gt;"",H206,IF(AND(F206&lt;&gt;"",G206&lt;&gt;""),ROUND((G206-F206)*1440,0),""))</f>
        <v/>
      </c>
      <c r="J206" s="26" t="n"/>
      <c r="K206" s="9">
        <f>IF(D206="","",IFERROR(VLOOKUP(D206,参数!$A$5:$C$24,2,0),""))</f>
        <v/>
      </c>
      <c r="L206" s="9">
        <f>IF(D206="","",IFERROR(VLOOKUP(D206,参数!$A$5:$C$24,3,0),""))</f>
        <v/>
      </c>
      <c r="M206" s="21" t="n"/>
      <c r="N206" s="21" t="n"/>
      <c r="O206" s="21" t="n"/>
    </row>
    <row r="207">
      <c r="A207" s="24" t="n"/>
      <c r="B207" s="21" t="n"/>
      <c r="C207" s="21" t="n"/>
      <c r="D207" s="21" t="n"/>
      <c r="E207" s="21" t="n"/>
      <c r="F207" s="28" t="n"/>
      <c r="G207" s="28" t="n"/>
      <c r="H207" s="26" t="n"/>
      <c r="I207" s="10">
        <f>IF(H207&lt;&gt;"",H207,IF(AND(F207&lt;&gt;"",G207&lt;&gt;""),ROUND((G207-F207)*1440,0),""))</f>
        <v/>
      </c>
      <c r="J207" s="26" t="n"/>
      <c r="K207" s="9">
        <f>IF(D207="","",IFERROR(VLOOKUP(D207,参数!$A$5:$C$24,2,0),""))</f>
        <v/>
      </c>
      <c r="L207" s="9">
        <f>IF(D207="","",IFERROR(VLOOKUP(D207,参数!$A$5:$C$24,3,0),""))</f>
        <v/>
      </c>
      <c r="M207" s="21" t="n"/>
      <c r="N207" s="21" t="n"/>
      <c r="O207" s="21" t="n"/>
    </row>
    <row r="208">
      <c r="A208" s="24" t="n"/>
      <c r="B208" s="21" t="n"/>
      <c r="C208" s="21" t="n"/>
      <c r="D208" s="21" t="n"/>
      <c r="E208" s="21" t="n"/>
      <c r="F208" s="28" t="n"/>
      <c r="G208" s="28" t="n"/>
      <c r="H208" s="26" t="n"/>
      <c r="I208" s="10">
        <f>IF(H208&lt;&gt;"",H208,IF(AND(F208&lt;&gt;"",G208&lt;&gt;""),ROUND((G208-F208)*1440,0),""))</f>
        <v/>
      </c>
      <c r="J208" s="26" t="n"/>
      <c r="K208" s="9">
        <f>IF(D208="","",IFERROR(VLOOKUP(D208,参数!$A$5:$C$24,2,0),""))</f>
        <v/>
      </c>
      <c r="L208" s="9">
        <f>IF(D208="","",IFERROR(VLOOKUP(D208,参数!$A$5:$C$24,3,0),""))</f>
        <v/>
      </c>
      <c r="M208" s="21" t="n"/>
      <c r="N208" s="21" t="n"/>
      <c r="O208" s="21" t="n"/>
    </row>
    <row r="209">
      <c r="A209" s="24" t="n"/>
      <c r="B209" s="21" t="n"/>
      <c r="C209" s="21" t="n"/>
      <c r="D209" s="21" t="n"/>
      <c r="E209" s="21" t="n"/>
      <c r="F209" s="28" t="n"/>
      <c r="G209" s="28" t="n"/>
      <c r="H209" s="26" t="n"/>
      <c r="I209" s="10">
        <f>IF(H209&lt;&gt;"",H209,IF(AND(F209&lt;&gt;"",G209&lt;&gt;""),ROUND((G209-F209)*1440,0),""))</f>
        <v/>
      </c>
      <c r="J209" s="26" t="n"/>
      <c r="K209" s="9">
        <f>IF(D209="","",IFERROR(VLOOKUP(D209,参数!$A$5:$C$24,2,0),""))</f>
        <v/>
      </c>
      <c r="L209" s="9">
        <f>IF(D209="","",IFERROR(VLOOKUP(D209,参数!$A$5:$C$24,3,0),""))</f>
        <v/>
      </c>
      <c r="M209" s="21" t="n"/>
      <c r="N209" s="21" t="n"/>
      <c r="O209" s="21" t="n"/>
    </row>
    <row r="210">
      <c r="A210" s="24" t="n"/>
      <c r="B210" s="21" t="n"/>
      <c r="C210" s="21" t="n"/>
      <c r="D210" s="21" t="n"/>
      <c r="E210" s="21" t="n"/>
      <c r="F210" s="28" t="n"/>
      <c r="G210" s="28" t="n"/>
      <c r="H210" s="26" t="n"/>
      <c r="I210" s="10">
        <f>IF(H210&lt;&gt;"",H210,IF(AND(F210&lt;&gt;"",G210&lt;&gt;""),ROUND((G210-F210)*1440,0),""))</f>
        <v/>
      </c>
      <c r="J210" s="26" t="n"/>
      <c r="K210" s="9">
        <f>IF(D210="","",IFERROR(VLOOKUP(D210,参数!$A$5:$C$24,2,0),""))</f>
        <v/>
      </c>
      <c r="L210" s="9">
        <f>IF(D210="","",IFERROR(VLOOKUP(D210,参数!$A$5:$C$24,3,0),""))</f>
        <v/>
      </c>
      <c r="M210" s="21" t="n"/>
      <c r="N210" s="21" t="n"/>
      <c r="O210" s="21" t="n"/>
    </row>
    <row r="211">
      <c r="A211" s="24" t="n"/>
      <c r="B211" s="21" t="n"/>
      <c r="C211" s="21" t="n"/>
      <c r="D211" s="21" t="n"/>
      <c r="E211" s="21" t="n"/>
      <c r="F211" s="28" t="n"/>
      <c r="G211" s="28" t="n"/>
      <c r="H211" s="26" t="n"/>
      <c r="I211" s="10">
        <f>IF(H211&lt;&gt;"",H211,IF(AND(F211&lt;&gt;"",G211&lt;&gt;""),ROUND((G211-F211)*1440,0),""))</f>
        <v/>
      </c>
      <c r="J211" s="26" t="n"/>
      <c r="K211" s="9">
        <f>IF(D211="","",IFERROR(VLOOKUP(D211,参数!$A$5:$C$24,2,0),""))</f>
        <v/>
      </c>
      <c r="L211" s="9">
        <f>IF(D211="","",IFERROR(VLOOKUP(D211,参数!$A$5:$C$24,3,0),""))</f>
        <v/>
      </c>
      <c r="M211" s="21" t="n"/>
      <c r="N211" s="21" t="n"/>
      <c r="O211" s="21" t="n"/>
    </row>
    <row r="212">
      <c r="A212" s="24" t="n"/>
      <c r="B212" s="21" t="n"/>
      <c r="C212" s="21" t="n"/>
      <c r="D212" s="21" t="n"/>
      <c r="E212" s="21" t="n"/>
      <c r="F212" s="28" t="n"/>
      <c r="G212" s="28" t="n"/>
      <c r="H212" s="26" t="n"/>
      <c r="I212" s="10">
        <f>IF(H212&lt;&gt;"",H212,IF(AND(F212&lt;&gt;"",G212&lt;&gt;""),ROUND((G212-F212)*1440,0),""))</f>
        <v/>
      </c>
      <c r="J212" s="26" t="n"/>
      <c r="K212" s="9">
        <f>IF(D212="","",IFERROR(VLOOKUP(D212,参数!$A$5:$C$24,2,0),""))</f>
        <v/>
      </c>
      <c r="L212" s="9">
        <f>IF(D212="","",IFERROR(VLOOKUP(D212,参数!$A$5:$C$24,3,0),""))</f>
        <v/>
      </c>
      <c r="M212" s="21" t="n"/>
      <c r="N212" s="21" t="n"/>
      <c r="O212" s="21" t="n"/>
    </row>
    <row r="213">
      <c r="A213" s="24" t="n"/>
      <c r="B213" s="21" t="n"/>
      <c r="C213" s="21" t="n"/>
      <c r="D213" s="21" t="n"/>
      <c r="E213" s="21" t="n"/>
      <c r="F213" s="28" t="n"/>
      <c r="G213" s="28" t="n"/>
      <c r="H213" s="26" t="n"/>
      <c r="I213" s="10">
        <f>IF(H213&lt;&gt;"",H213,IF(AND(F213&lt;&gt;"",G213&lt;&gt;""),ROUND((G213-F213)*1440,0),""))</f>
        <v/>
      </c>
      <c r="J213" s="26" t="n"/>
      <c r="K213" s="9">
        <f>IF(D213="","",IFERROR(VLOOKUP(D213,参数!$A$5:$C$24,2,0),""))</f>
        <v/>
      </c>
      <c r="L213" s="9">
        <f>IF(D213="","",IFERROR(VLOOKUP(D213,参数!$A$5:$C$24,3,0),""))</f>
        <v/>
      </c>
      <c r="M213" s="21" t="n"/>
      <c r="N213" s="21" t="n"/>
      <c r="O213" s="21" t="n"/>
    </row>
    <row r="214">
      <c r="A214" s="24" t="n"/>
      <c r="B214" s="21" t="n"/>
      <c r="C214" s="21" t="n"/>
      <c r="D214" s="21" t="n"/>
      <c r="E214" s="21" t="n"/>
      <c r="F214" s="28" t="n"/>
      <c r="G214" s="28" t="n"/>
      <c r="H214" s="26" t="n"/>
      <c r="I214" s="10">
        <f>IF(H214&lt;&gt;"",H214,IF(AND(F214&lt;&gt;"",G214&lt;&gt;""),ROUND((G214-F214)*1440,0),""))</f>
        <v/>
      </c>
      <c r="J214" s="26" t="n"/>
      <c r="K214" s="9">
        <f>IF(D214="","",IFERROR(VLOOKUP(D214,参数!$A$5:$C$24,2,0),""))</f>
        <v/>
      </c>
      <c r="L214" s="9">
        <f>IF(D214="","",IFERROR(VLOOKUP(D214,参数!$A$5:$C$24,3,0),""))</f>
        <v/>
      </c>
      <c r="M214" s="21" t="n"/>
      <c r="N214" s="21" t="n"/>
      <c r="O214" s="21" t="n"/>
    </row>
    <row r="215">
      <c r="A215" s="24" t="n"/>
      <c r="B215" s="21" t="n"/>
      <c r="C215" s="21" t="n"/>
      <c r="D215" s="21" t="n"/>
      <c r="E215" s="21" t="n"/>
      <c r="F215" s="28" t="n"/>
      <c r="G215" s="28" t="n"/>
      <c r="H215" s="26" t="n"/>
      <c r="I215" s="10">
        <f>IF(H215&lt;&gt;"",H215,IF(AND(F215&lt;&gt;"",G215&lt;&gt;""),ROUND((G215-F215)*1440,0),""))</f>
        <v/>
      </c>
      <c r="J215" s="26" t="n"/>
      <c r="K215" s="9">
        <f>IF(D215="","",IFERROR(VLOOKUP(D215,参数!$A$5:$C$24,2,0),""))</f>
        <v/>
      </c>
      <c r="L215" s="9">
        <f>IF(D215="","",IFERROR(VLOOKUP(D215,参数!$A$5:$C$24,3,0),""))</f>
        <v/>
      </c>
      <c r="M215" s="21" t="n"/>
      <c r="N215" s="21" t="n"/>
      <c r="O215" s="21" t="n"/>
    </row>
    <row r="216">
      <c r="A216" s="24" t="n"/>
      <c r="B216" s="21" t="n"/>
      <c r="C216" s="21" t="n"/>
      <c r="D216" s="21" t="n"/>
      <c r="E216" s="21" t="n"/>
      <c r="F216" s="28" t="n"/>
      <c r="G216" s="28" t="n"/>
      <c r="H216" s="26" t="n"/>
      <c r="I216" s="10">
        <f>IF(H216&lt;&gt;"",H216,IF(AND(F216&lt;&gt;"",G216&lt;&gt;""),ROUND((G216-F216)*1440,0),""))</f>
        <v/>
      </c>
      <c r="J216" s="26" t="n"/>
      <c r="K216" s="9">
        <f>IF(D216="","",IFERROR(VLOOKUP(D216,参数!$A$5:$C$24,2,0),""))</f>
        <v/>
      </c>
      <c r="L216" s="9">
        <f>IF(D216="","",IFERROR(VLOOKUP(D216,参数!$A$5:$C$24,3,0),""))</f>
        <v/>
      </c>
      <c r="M216" s="21" t="n"/>
      <c r="N216" s="21" t="n"/>
      <c r="O216" s="21" t="n"/>
    </row>
    <row r="217">
      <c r="A217" s="24" t="n"/>
      <c r="B217" s="21" t="n"/>
      <c r="C217" s="21" t="n"/>
      <c r="D217" s="21" t="n"/>
      <c r="E217" s="21" t="n"/>
      <c r="F217" s="28" t="n"/>
      <c r="G217" s="28" t="n"/>
      <c r="H217" s="26" t="n"/>
      <c r="I217" s="10">
        <f>IF(H217&lt;&gt;"",H217,IF(AND(F217&lt;&gt;"",G217&lt;&gt;""),ROUND((G217-F217)*1440,0),""))</f>
        <v/>
      </c>
      <c r="J217" s="26" t="n"/>
      <c r="K217" s="9">
        <f>IF(D217="","",IFERROR(VLOOKUP(D217,参数!$A$5:$C$24,2,0),""))</f>
        <v/>
      </c>
      <c r="L217" s="9">
        <f>IF(D217="","",IFERROR(VLOOKUP(D217,参数!$A$5:$C$24,3,0),""))</f>
        <v/>
      </c>
      <c r="M217" s="21" t="n"/>
      <c r="N217" s="21" t="n"/>
      <c r="O217" s="21" t="n"/>
    </row>
    <row r="218">
      <c r="A218" s="24" t="n"/>
      <c r="B218" s="21" t="n"/>
      <c r="C218" s="21" t="n"/>
      <c r="D218" s="21" t="n"/>
      <c r="E218" s="21" t="n"/>
      <c r="F218" s="28" t="n"/>
      <c r="G218" s="28" t="n"/>
      <c r="H218" s="26" t="n"/>
      <c r="I218" s="10">
        <f>IF(H218&lt;&gt;"",H218,IF(AND(F218&lt;&gt;"",G218&lt;&gt;""),ROUND((G218-F218)*1440,0),""))</f>
        <v/>
      </c>
      <c r="J218" s="26" t="n"/>
      <c r="K218" s="9">
        <f>IF(D218="","",IFERROR(VLOOKUP(D218,参数!$A$5:$C$24,2,0),""))</f>
        <v/>
      </c>
      <c r="L218" s="9">
        <f>IF(D218="","",IFERROR(VLOOKUP(D218,参数!$A$5:$C$24,3,0),""))</f>
        <v/>
      </c>
      <c r="M218" s="21" t="n"/>
      <c r="N218" s="21" t="n"/>
      <c r="O218" s="21" t="n"/>
    </row>
    <row r="219">
      <c r="A219" s="24" t="n"/>
      <c r="B219" s="21" t="n"/>
      <c r="C219" s="21" t="n"/>
      <c r="D219" s="21" t="n"/>
      <c r="E219" s="21" t="n"/>
      <c r="F219" s="28" t="n"/>
      <c r="G219" s="28" t="n"/>
      <c r="H219" s="26" t="n"/>
      <c r="I219" s="10">
        <f>IF(H219&lt;&gt;"",H219,IF(AND(F219&lt;&gt;"",G219&lt;&gt;""),ROUND((G219-F219)*1440,0),""))</f>
        <v/>
      </c>
      <c r="J219" s="26" t="n"/>
      <c r="K219" s="9">
        <f>IF(D219="","",IFERROR(VLOOKUP(D219,参数!$A$5:$C$24,2,0),""))</f>
        <v/>
      </c>
      <c r="L219" s="9">
        <f>IF(D219="","",IFERROR(VLOOKUP(D219,参数!$A$5:$C$24,3,0),""))</f>
        <v/>
      </c>
      <c r="M219" s="21" t="n"/>
      <c r="N219" s="21" t="n"/>
      <c r="O219" s="21" t="n"/>
    </row>
    <row r="220">
      <c r="A220" s="24" t="n"/>
      <c r="B220" s="21" t="n"/>
      <c r="C220" s="21" t="n"/>
      <c r="D220" s="21" t="n"/>
      <c r="E220" s="21" t="n"/>
      <c r="F220" s="28" t="n"/>
      <c r="G220" s="28" t="n"/>
      <c r="H220" s="26" t="n"/>
      <c r="I220" s="10">
        <f>IF(H220&lt;&gt;"",H220,IF(AND(F220&lt;&gt;"",G220&lt;&gt;""),ROUND((G220-F220)*1440,0),""))</f>
        <v/>
      </c>
      <c r="J220" s="26" t="n"/>
      <c r="K220" s="9">
        <f>IF(D220="","",IFERROR(VLOOKUP(D220,参数!$A$5:$C$24,2,0),""))</f>
        <v/>
      </c>
      <c r="L220" s="9">
        <f>IF(D220="","",IFERROR(VLOOKUP(D220,参数!$A$5:$C$24,3,0),""))</f>
        <v/>
      </c>
      <c r="M220" s="21" t="n"/>
      <c r="N220" s="21" t="n"/>
      <c r="O220" s="21" t="n"/>
    </row>
    <row r="221">
      <c r="A221" s="24" t="n"/>
      <c r="B221" s="21" t="n"/>
      <c r="C221" s="21" t="n"/>
      <c r="D221" s="21" t="n"/>
      <c r="E221" s="21" t="n"/>
      <c r="F221" s="28" t="n"/>
      <c r="G221" s="28" t="n"/>
      <c r="H221" s="26" t="n"/>
      <c r="I221" s="10">
        <f>IF(H221&lt;&gt;"",H221,IF(AND(F221&lt;&gt;"",G221&lt;&gt;""),ROUND((G221-F221)*1440,0),""))</f>
        <v/>
      </c>
      <c r="J221" s="26" t="n"/>
      <c r="K221" s="9">
        <f>IF(D221="","",IFERROR(VLOOKUP(D221,参数!$A$5:$C$24,2,0),""))</f>
        <v/>
      </c>
      <c r="L221" s="9">
        <f>IF(D221="","",IFERROR(VLOOKUP(D221,参数!$A$5:$C$24,3,0),""))</f>
        <v/>
      </c>
      <c r="M221" s="21" t="n"/>
      <c r="N221" s="21" t="n"/>
      <c r="O221" s="21" t="n"/>
    </row>
    <row r="222">
      <c r="A222" s="24" t="n"/>
      <c r="B222" s="21" t="n"/>
      <c r="C222" s="21" t="n"/>
      <c r="D222" s="21" t="n"/>
      <c r="E222" s="21" t="n"/>
      <c r="F222" s="28" t="n"/>
      <c r="G222" s="28" t="n"/>
      <c r="H222" s="26" t="n"/>
      <c r="I222" s="10">
        <f>IF(H222&lt;&gt;"",H222,IF(AND(F222&lt;&gt;"",G222&lt;&gt;""),ROUND((G222-F222)*1440,0),""))</f>
        <v/>
      </c>
      <c r="J222" s="26" t="n"/>
      <c r="K222" s="9">
        <f>IF(D222="","",IFERROR(VLOOKUP(D222,参数!$A$5:$C$24,2,0),""))</f>
        <v/>
      </c>
      <c r="L222" s="9">
        <f>IF(D222="","",IFERROR(VLOOKUP(D222,参数!$A$5:$C$24,3,0),""))</f>
        <v/>
      </c>
      <c r="M222" s="21" t="n"/>
      <c r="N222" s="21" t="n"/>
      <c r="O222" s="21" t="n"/>
    </row>
    <row r="223">
      <c r="A223" s="24" t="n"/>
      <c r="B223" s="21" t="n"/>
      <c r="C223" s="21" t="n"/>
      <c r="D223" s="21" t="n"/>
      <c r="E223" s="21" t="n"/>
      <c r="F223" s="28" t="n"/>
      <c r="G223" s="28" t="n"/>
      <c r="H223" s="26" t="n"/>
      <c r="I223" s="10">
        <f>IF(H223&lt;&gt;"",H223,IF(AND(F223&lt;&gt;"",G223&lt;&gt;""),ROUND((G223-F223)*1440,0),""))</f>
        <v/>
      </c>
      <c r="J223" s="26" t="n"/>
      <c r="K223" s="9">
        <f>IF(D223="","",IFERROR(VLOOKUP(D223,参数!$A$5:$C$24,2,0),""))</f>
        <v/>
      </c>
      <c r="L223" s="9">
        <f>IF(D223="","",IFERROR(VLOOKUP(D223,参数!$A$5:$C$24,3,0),""))</f>
        <v/>
      </c>
      <c r="M223" s="21" t="n"/>
      <c r="N223" s="21" t="n"/>
      <c r="O223" s="21" t="n"/>
    </row>
    <row r="224">
      <c r="A224" s="24" t="n"/>
      <c r="B224" s="21" t="n"/>
      <c r="C224" s="21" t="n"/>
      <c r="D224" s="21" t="n"/>
      <c r="E224" s="21" t="n"/>
      <c r="F224" s="28" t="n"/>
      <c r="G224" s="28" t="n"/>
      <c r="H224" s="26" t="n"/>
      <c r="I224" s="10">
        <f>IF(H224&lt;&gt;"",H224,IF(AND(F224&lt;&gt;"",G224&lt;&gt;""),ROUND((G224-F224)*1440,0),""))</f>
        <v/>
      </c>
      <c r="J224" s="26" t="n"/>
      <c r="K224" s="9">
        <f>IF(D224="","",IFERROR(VLOOKUP(D224,参数!$A$5:$C$24,2,0),""))</f>
        <v/>
      </c>
      <c r="L224" s="9">
        <f>IF(D224="","",IFERROR(VLOOKUP(D224,参数!$A$5:$C$24,3,0),""))</f>
        <v/>
      </c>
      <c r="M224" s="21" t="n"/>
      <c r="N224" s="21" t="n"/>
      <c r="O224" s="21" t="n"/>
    </row>
    <row r="225">
      <c r="A225" s="24" t="n"/>
      <c r="B225" s="21" t="n"/>
      <c r="C225" s="21" t="n"/>
      <c r="D225" s="21" t="n"/>
      <c r="E225" s="21" t="n"/>
      <c r="F225" s="28" t="n"/>
      <c r="G225" s="28" t="n"/>
      <c r="H225" s="26" t="n"/>
      <c r="I225" s="10">
        <f>IF(H225&lt;&gt;"",H225,IF(AND(F225&lt;&gt;"",G225&lt;&gt;""),ROUND((G225-F225)*1440,0),""))</f>
        <v/>
      </c>
      <c r="J225" s="26" t="n"/>
      <c r="K225" s="9">
        <f>IF(D225="","",IFERROR(VLOOKUP(D225,参数!$A$5:$C$24,2,0),""))</f>
        <v/>
      </c>
      <c r="L225" s="9">
        <f>IF(D225="","",IFERROR(VLOOKUP(D225,参数!$A$5:$C$24,3,0),""))</f>
        <v/>
      </c>
      <c r="M225" s="21" t="n"/>
      <c r="N225" s="21" t="n"/>
      <c r="O225" s="21" t="n"/>
    </row>
    <row r="226">
      <c r="A226" s="24" t="n"/>
      <c r="B226" s="21" t="n"/>
      <c r="C226" s="21" t="n"/>
      <c r="D226" s="21" t="n"/>
      <c r="E226" s="21" t="n"/>
      <c r="F226" s="28" t="n"/>
      <c r="G226" s="28" t="n"/>
      <c r="H226" s="26" t="n"/>
      <c r="I226" s="10">
        <f>IF(H226&lt;&gt;"",H226,IF(AND(F226&lt;&gt;"",G226&lt;&gt;""),ROUND((G226-F226)*1440,0),""))</f>
        <v/>
      </c>
      <c r="J226" s="26" t="n"/>
      <c r="K226" s="9">
        <f>IF(D226="","",IFERROR(VLOOKUP(D226,参数!$A$5:$C$24,2,0),""))</f>
        <v/>
      </c>
      <c r="L226" s="9">
        <f>IF(D226="","",IFERROR(VLOOKUP(D226,参数!$A$5:$C$24,3,0),""))</f>
        <v/>
      </c>
      <c r="M226" s="21" t="n"/>
      <c r="N226" s="21" t="n"/>
      <c r="O226" s="21" t="n"/>
    </row>
    <row r="227">
      <c r="A227" s="24" t="n"/>
      <c r="B227" s="21" t="n"/>
      <c r="C227" s="21" t="n"/>
      <c r="D227" s="21" t="n"/>
      <c r="E227" s="21" t="n"/>
      <c r="F227" s="28" t="n"/>
      <c r="G227" s="28" t="n"/>
      <c r="H227" s="26" t="n"/>
      <c r="I227" s="10">
        <f>IF(H227&lt;&gt;"",H227,IF(AND(F227&lt;&gt;"",G227&lt;&gt;""),ROUND((G227-F227)*1440,0),""))</f>
        <v/>
      </c>
      <c r="J227" s="26" t="n"/>
      <c r="K227" s="9">
        <f>IF(D227="","",IFERROR(VLOOKUP(D227,参数!$A$5:$C$24,2,0),""))</f>
        <v/>
      </c>
      <c r="L227" s="9">
        <f>IF(D227="","",IFERROR(VLOOKUP(D227,参数!$A$5:$C$24,3,0),""))</f>
        <v/>
      </c>
      <c r="M227" s="21" t="n"/>
      <c r="N227" s="21" t="n"/>
      <c r="O227" s="21" t="n"/>
    </row>
    <row r="228">
      <c r="A228" s="24" t="n"/>
      <c r="B228" s="21" t="n"/>
      <c r="C228" s="21" t="n"/>
      <c r="D228" s="21" t="n"/>
      <c r="E228" s="21" t="n"/>
      <c r="F228" s="28" t="n"/>
      <c r="G228" s="28" t="n"/>
      <c r="H228" s="26" t="n"/>
      <c r="I228" s="10">
        <f>IF(H228&lt;&gt;"",H228,IF(AND(F228&lt;&gt;"",G228&lt;&gt;""),ROUND((G228-F228)*1440,0),""))</f>
        <v/>
      </c>
      <c r="J228" s="26" t="n"/>
      <c r="K228" s="9">
        <f>IF(D228="","",IFERROR(VLOOKUP(D228,参数!$A$5:$C$24,2,0),""))</f>
        <v/>
      </c>
      <c r="L228" s="9">
        <f>IF(D228="","",IFERROR(VLOOKUP(D228,参数!$A$5:$C$24,3,0),""))</f>
        <v/>
      </c>
      <c r="M228" s="21" t="n"/>
      <c r="N228" s="21" t="n"/>
      <c r="O228" s="21" t="n"/>
    </row>
    <row r="229">
      <c r="A229" s="24" t="n"/>
      <c r="B229" s="21" t="n"/>
      <c r="C229" s="21" t="n"/>
      <c r="D229" s="21" t="n"/>
      <c r="E229" s="21" t="n"/>
      <c r="F229" s="28" t="n"/>
      <c r="G229" s="28" t="n"/>
      <c r="H229" s="26" t="n"/>
      <c r="I229" s="10">
        <f>IF(H229&lt;&gt;"",H229,IF(AND(F229&lt;&gt;"",G229&lt;&gt;""),ROUND((G229-F229)*1440,0),""))</f>
        <v/>
      </c>
      <c r="J229" s="26" t="n"/>
      <c r="K229" s="9">
        <f>IF(D229="","",IFERROR(VLOOKUP(D229,参数!$A$5:$C$24,2,0),""))</f>
        <v/>
      </c>
      <c r="L229" s="9">
        <f>IF(D229="","",IFERROR(VLOOKUP(D229,参数!$A$5:$C$24,3,0),""))</f>
        <v/>
      </c>
      <c r="M229" s="21" t="n"/>
      <c r="N229" s="21" t="n"/>
      <c r="O229" s="21" t="n"/>
    </row>
    <row r="230">
      <c r="A230" s="24" t="n"/>
      <c r="B230" s="21" t="n"/>
      <c r="C230" s="21" t="n"/>
      <c r="D230" s="21" t="n"/>
      <c r="E230" s="21" t="n"/>
      <c r="F230" s="28" t="n"/>
      <c r="G230" s="28" t="n"/>
      <c r="H230" s="26" t="n"/>
      <c r="I230" s="10">
        <f>IF(H230&lt;&gt;"",H230,IF(AND(F230&lt;&gt;"",G230&lt;&gt;""),ROUND((G230-F230)*1440,0),""))</f>
        <v/>
      </c>
      <c r="J230" s="26" t="n"/>
      <c r="K230" s="9">
        <f>IF(D230="","",IFERROR(VLOOKUP(D230,参数!$A$5:$C$24,2,0),""))</f>
        <v/>
      </c>
      <c r="L230" s="9">
        <f>IF(D230="","",IFERROR(VLOOKUP(D230,参数!$A$5:$C$24,3,0),""))</f>
        <v/>
      </c>
      <c r="M230" s="21" t="n"/>
      <c r="N230" s="21" t="n"/>
      <c r="O230" s="21" t="n"/>
    </row>
    <row r="231">
      <c r="A231" s="24" t="n"/>
      <c r="B231" s="21" t="n"/>
      <c r="C231" s="21" t="n"/>
      <c r="D231" s="21" t="n"/>
      <c r="E231" s="21" t="n"/>
      <c r="F231" s="28" t="n"/>
      <c r="G231" s="28" t="n"/>
      <c r="H231" s="26" t="n"/>
      <c r="I231" s="10">
        <f>IF(H231&lt;&gt;"",H231,IF(AND(F231&lt;&gt;"",G231&lt;&gt;""),ROUND((G231-F231)*1440,0),""))</f>
        <v/>
      </c>
      <c r="J231" s="26" t="n"/>
      <c r="K231" s="9">
        <f>IF(D231="","",IFERROR(VLOOKUP(D231,参数!$A$5:$C$24,2,0),""))</f>
        <v/>
      </c>
      <c r="L231" s="9">
        <f>IF(D231="","",IFERROR(VLOOKUP(D231,参数!$A$5:$C$24,3,0),""))</f>
        <v/>
      </c>
      <c r="M231" s="21" t="n"/>
      <c r="N231" s="21" t="n"/>
      <c r="O231" s="21" t="n"/>
    </row>
    <row r="232">
      <c r="A232" s="24" t="n"/>
      <c r="B232" s="21" t="n"/>
      <c r="C232" s="21" t="n"/>
      <c r="D232" s="21" t="n"/>
      <c r="E232" s="21" t="n"/>
      <c r="F232" s="28" t="n"/>
      <c r="G232" s="28" t="n"/>
      <c r="H232" s="26" t="n"/>
      <c r="I232" s="10">
        <f>IF(H232&lt;&gt;"",H232,IF(AND(F232&lt;&gt;"",G232&lt;&gt;""),ROUND((G232-F232)*1440,0),""))</f>
        <v/>
      </c>
      <c r="J232" s="26" t="n"/>
      <c r="K232" s="9">
        <f>IF(D232="","",IFERROR(VLOOKUP(D232,参数!$A$5:$C$24,2,0),""))</f>
        <v/>
      </c>
      <c r="L232" s="9">
        <f>IF(D232="","",IFERROR(VLOOKUP(D232,参数!$A$5:$C$24,3,0),""))</f>
        <v/>
      </c>
      <c r="M232" s="21" t="n"/>
      <c r="N232" s="21" t="n"/>
      <c r="O232" s="21" t="n"/>
    </row>
    <row r="233">
      <c r="A233" s="24" t="n"/>
      <c r="B233" s="21" t="n"/>
      <c r="C233" s="21" t="n"/>
      <c r="D233" s="21" t="n"/>
      <c r="E233" s="21" t="n"/>
      <c r="F233" s="28" t="n"/>
      <c r="G233" s="28" t="n"/>
      <c r="H233" s="26" t="n"/>
      <c r="I233" s="10">
        <f>IF(H233&lt;&gt;"",H233,IF(AND(F233&lt;&gt;"",G233&lt;&gt;""),ROUND((G233-F233)*1440,0),""))</f>
        <v/>
      </c>
      <c r="J233" s="26" t="n"/>
      <c r="K233" s="9">
        <f>IF(D233="","",IFERROR(VLOOKUP(D233,参数!$A$5:$C$24,2,0),""))</f>
        <v/>
      </c>
      <c r="L233" s="9">
        <f>IF(D233="","",IFERROR(VLOOKUP(D233,参数!$A$5:$C$24,3,0),""))</f>
        <v/>
      </c>
      <c r="M233" s="21" t="n"/>
      <c r="N233" s="21" t="n"/>
      <c r="O233" s="21" t="n"/>
    </row>
    <row r="234">
      <c r="A234" s="24" t="n"/>
      <c r="B234" s="21" t="n"/>
      <c r="C234" s="21" t="n"/>
      <c r="D234" s="21" t="n"/>
      <c r="E234" s="21" t="n"/>
      <c r="F234" s="28" t="n"/>
      <c r="G234" s="28" t="n"/>
      <c r="H234" s="26" t="n"/>
      <c r="I234" s="10">
        <f>IF(H234&lt;&gt;"",H234,IF(AND(F234&lt;&gt;"",G234&lt;&gt;""),ROUND((G234-F234)*1440,0),""))</f>
        <v/>
      </c>
      <c r="J234" s="26" t="n"/>
      <c r="K234" s="9">
        <f>IF(D234="","",IFERROR(VLOOKUP(D234,参数!$A$5:$C$24,2,0),""))</f>
        <v/>
      </c>
      <c r="L234" s="9">
        <f>IF(D234="","",IFERROR(VLOOKUP(D234,参数!$A$5:$C$24,3,0),""))</f>
        <v/>
      </c>
      <c r="M234" s="21" t="n"/>
      <c r="N234" s="21" t="n"/>
      <c r="O234" s="21" t="n"/>
    </row>
    <row r="235">
      <c r="A235" s="24" t="n"/>
      <c r="B235" s="21" t="n"/>
      <c r="C235" s="21" t="n"/>
      <c r="D235" s="21" t="n"/>
      <c r="E235" s="21" t="n"/>
      <c r="F235" s="28" t="n"/>
      <c r="G235" s="28" t="n"/>
      <c r="H235" s="26" t="n"/>
      <c r="I235" s="10">
        <f>IF(H235&lt;&gt;"",H235,IF(AND(F235&lt;&gt;"",G235&lt;&gt;""),ROUND((G235-F235)*1440,0),""))</f>
        <v/>
      </c>
      <c r="J235" s="26" t="n"/>
      <c r="K235" s="9">
        <f>IF(D235="","",IFERROR(VLOOKUP(D235,参数!$A$5:$C$24,2,0),""))</f>
        <v/>
      </c>
      <c r="L235" s="9">
        <f>IF(D235="","",IFERROR(VLOOKUP(D235,参数!$A$5:$C$24,3,0),""))</f>
        <v/>
      </c>
      <c r="M235" s="21" t="n"/>
      <c r="N235" s="21" t="n"/>
      <c r="O235" s="21" t="n"/>
    </row>
    <row r="236">
      <c r="A236" s="24" t="n"/>
      <c r="B236" s="21" t="n"/>
      <c r="C236" s="21" t="n"/>
      <c r="D236" s="21" t="n"/>
      <c r="E236" s="21" t="n"/>
      <c r="F236" s="28" t="n"/>
      <c r="G236" s="28" t="n"/>
      <c r="H236" s="26" t="n"/>
      <c r="I236" s="10">
        <f>IF(H236&lt;&gt;"",H236,IF(AND(F236&lt;&gt;"",G236&lt;&gt;""),ROUND((G236-F236)*1440,0),""))</f>
        <v/>
      </c>
      <c r="J236" s="26" t="n"/>
      <c r="K236" s="9">
        <f>IF(D236="","",IFERROR(VLOOKUP(D236,参数!$A$5:$C$24,2,0),""))</f>
        <v/>
      </c>
      <c r="L236" s="9">
        <f>IF(D236="","",IFERROR(VLOOKUP(D236,参数!$A$5:$C$24,3,0),""))</f>
        <v/>
      </c>
      <c r="M236" s="21" t="n"/>
      <c r="N236" s="21" t="n"/>
      <c r="O236" s="21" t="n"/>
    </row>
    <row r="237">
      <c r="A237" s="24" t="n"/>
      <c r="B237" s="21" t="n"/>
      <c r="C237" s="21" t="n"/>
      <c r="D237" s="21" t="n"/>
      <c r="E237" s="21" t="n"/>
      <c r="F237" s="28" t="n"/>
      <c r="G237" s="28" t="n"/>
      <c r="H237" s="26" t="n"/>
      <c r="I237" s="10">
        <f>IF(H237&lt;&gt;"",H237,IF(AND(F237&lt;&gt;"",G237&lt;&gt;""),ROUND((G237-F237)*1440,0),""))</f>
        <v/>
      </c>
      <c r="J237" s="26" t="n"/>
      <c r="K237" s="9">
        <f>IF(D237="","",IFERROR(VLOOKUP(D237,参数!$A$5:$C$24,2,0),""))</f>
        <v/>
      </c>
      <c r="L237" s="9">
        <f>IF(D237="","",IFERROR(VLOOKUP(D237,参数!$A$5:$C$24,3,0),""))</f>
        <v/>
      </c>
      <c r="M237" s="21" t="n"/>
      <c r="N237" s="21" t="n"/>
      <c r="O237" s="21" t="n"/>
    </row>
    <row r="238">
      <c r="A238" s="24" t="n"/>
      <c r="B238" s="21" t="n"/>
      <c r="C238" s="21" t="n"/>
      <c r="D238" s="21" t="n"/>
      <c r="E238" s="21" t="n"/>
      <c r="F238" s="28" t="n"/>
      <c r="G238" s="28" t="n"/>
      <c r="H238" s="26" t="n"/>
      <c r="I238" s="10">
        <f>IF(H238&lt;&gt;"",H238,IF(AND(F238&lt;&gt;"",G238&lt;&gt;""),ROUND((G238-F238)*1440,0),""))</f>
        <v/>
      </c>
      <c r="J238" s="26" t="n"/>
      <c r="K238" s="9">
        <f>IF(D238="","",IFERROR(VLOOKUP(D238,参数!$A$5:$C$24,2,0),""))</f>
        <v/>
      </c>
      <c r="L238" s="9">
        <f>IF(D238="","",IFERROR(VLOOKUP(D238,参数!$A$5:$C$24,3,0),""))</f>
        <v/>
      </c>
      <c r="M238" s="21" t="n"/>
      <c r="N238" s="21" t="n"/>
      <c r="O238" s="21" t="n"/>
    </row>
    <row r="239">
      <c r="A239" s="24" t="n"/>
      <c r="B239" s="21" t="n"/>
      <c r="C239" s="21" t="n"/>
      <c r="D239" s="21" t="n"/>
      <c r="E239" s="21" t="n"/>
      <c r="F239" s="28" t="n"/>
      <c r="G239" s="28" t="n"/>
      <c r="H239" s="26" t="n"/>
      <c r="I239" s="10">
        <f>IF(H239&lt;&gt;"",H239,IF(AND(F239&lt;&gt;"",G239&lt;&gt;""),ROUND((G239-F239)*1440,0),""))</f>
        <v/>
      </c>
      <c r="J239" s="26" t="n"/>
      <c r="K239" s="9">
        <f>IF(D239="","",IFERROR(VLOOKUP(D239,参数!$A$5:$C$24,2,0),""))</f>
        <v/>
      </c>
      <c r="L239" s="9">
        <f>IF(D239="","",IFERROR(VLOOKUP(D239,参数!$A$5:$C$24,3,0),""))</f>
        <v/>
      </c>
      <c r="M239" s="21" t="n"/>
      <c r="N239" s="21" t="n"/>
      <c r="O239" s="21" t="n"/>
    </row>
    <row r="240">
      <c r="A240" s="24" t="n"/>
      <c r="B240" s="21" t="n"/>
      <c r="C240" s="21" t="n"/>
      <c r="D240" s="21" t="n"/>
      <c r="E240" s="21" t="n"/>
      <c r="F240" s="28" t="n"/>
      <c r="G240" s="28" t="n"/>
      <c r="H240" s="26" t="n"/>
      <c r="I240" s="10">
        <f>IF(H240&lt;&gt;"",H240,IF(AND(F240&lt;&gt;"",G240&lt;&gt;""),ROUND((G240-F240)*1440,0),""))</f>
        <v/>
      </c>
      <c r="J240" s="26" t="n"/>
      <c r="K240" s="9">
        <f>IF(D240="","",IFERROR(VLOOKUP(D240,参数!$A$5:$C$24,2,0),""))</f>
        <v/>
      </c>
      <c r="L240" s="9">
        <f>IF(D240="","",IFERROR(VLOOKUP(D240,参数!$A$5:$C$24,3,0),""))</f>
        <v/>
      </c>
      <c r="M240" s="21" t="n"/>
      <c r="N240" s="21" t="n"/>
      <c r="O240" s="21" t="n"/>
    </row>
    <row r="241">
      <c r="A241" s="24" t="n"/>
      <c r="B241" s="21" t="n"/>
      <c r="C241" s="21" t="n"/>
      <c r="D241" s="21" t="n"/>
      <c r="E241" s="21" t="n"/>
      <c r="F241" s="28" t="n"/>
      <c r="G241" s="28" t="n"/>
      <c r="H241" s="26" t="n"/>
      <c r="I241" s="10">
        <f>IF(H241&lt;&gt;"",H241,IF(AND(F241&lt;&gt;"",G241&lt;&gt;""),ROUND((G241-F241)*1440,0),""))</f>
        <v/>
      </c>
      <c r="J241" s="26" t="n"/>
      <c r="K241" s="9">
        <f>IF(D241="","",IFERROR(VLOOKUP(D241,参数!$A$5:$C$24,2,0),""))</f>
        <v/>
      </c>
      <c r="L241" s="9">
        <f>IF(D241="","",IFERROR(VLOOKUP(D241,参数!$A$5:$C$24,3,0),""))</f>
        <v/>
      </c>
      <c r="M241" s="21" t="n"/>
      <c r="N241" s="21" t="n"/>
      <c r="O241" s="21" t="n"/>
    </row>
    <row r="242">
      <c r="A242" s="24" t="n"/>
      <c r="B242" s="21" t="n"/>
      <c r="C242" s="21" t="n"/>
      <c r="D242" s="21" t="n"/>
      <c r="E242" s="21" t="n"/>
      <c r="F242" s="28" t="n"/>
      <c r="G242" s="28" t="n"/>
      <c r="H242" s="26" t="n"/>
      <c r="I242" s="10">
        <f>IF(H242&lt;&gt;"",H242,IF(AND(F242&lt;&gt;"",G242&lt;&gt;""),ROUND((G242-F242)*1440,0),""))</f>
        <v/>
      </c>
      <c r="J242" s="26" t="n"/>
      <c r="K242" s="9">
        <f>IF(D242="","",IFERROR(VLOOKUP(D242,参数!$A$5:$C$24,2,0),""))</f>
        <v/>
      </c>
      <c r="L242" s="9">
        <f>IF(D242="","",IFERROR(VLOOKUP(D242,参数!$A$5:$C$24,3,0),""))</f>
        <v/>
      </c>
      <c r="M242" s="21" t="n"/>
      <c r="N242" s="21" t="n"/>
      <c r="O242" s="21" t="n"/>
    </row>
    <row r="243">
      <c r="A243" s="24" t="n"/>
      <c r="B243" s="21" t="n"/>
      <c r="C243" s="21" t="n"/>
      <c r="D243" s="21" t="n"/>
      <c r="E243" s="21" t="n"/>
      <c r="F243" s="28" t="n"/>
      <c r="G243" s="28" t="n"/>
      <c r="H243" s="26" t="n"/>
      <c r="I243" s="10">
        <f>IF(H243&lt;&gt;"",H243,IF(AND(F243&lt;&gt;"",G243&lt;&gt;""),ROUND((G243-F243)*1440,0),""))</f>
        <v/>
      </c>
      <c r="J243" s="26" t="n"/>
      <c r="K243" s="9">
        <f>IF(D243="","",IFERROR(VLOOKUP(D243,参数!$A$5:$C$24,2,0),""))</f>
        <v/>
      </c>
      <c r="L243" s="9">
        <f>IF(D243="","",IFERROR(VLOOKUP(D243,参数!$A$5:$C$24,3,0),""))</f>
        <v/>
      </c>
      <c r="M243" s="21" t="n"/>
      <c r="N243" s="21" t="n"/>
      <c r="O243" s="21" t="n"/>
    </row>
    <row r="244">
      <c r="A244" s="24" t="n"/>
      <c r="B244" s="21" t="n"/>
      <c r="C244" s="21" t="n"/>
      <c r="D244" s="21" t="n"/>
      <c r="E244" s="21" t="n"/>
      <c r="F244" s="28" t="n"/>
      <c r="G244" s="28" t="n"/>
      <c r="H244" s="26" t="n"/>
      <c r="I244" s="10">
        <f>IF(H244&lt;&gt;"",H244,IF(AND(F244&lt;&gt;"",G244&lt;&gt;""),ROUND((G244-F244)*1440,0),""))</f>
        <v/>
      </c>
      <c r="J244" s="26" t="n"/>
      <c r="K244" s="9">
        <f>IF(D244="","",IFERROR(VLOOKUP(D244,参数!$A$5:$C$24,2,0),""))</f>
        <v/>
      </c>
      <c r="L244" s="9">
        <f>IF(D244="","",IFERROR(VLOOKUP(D244,参数!$A$5:$C$24,3,0),""))</f>
        <v/>
      </c>
      <c r="M244" s="21" t="n"/>
      <c r="N244" s="21" t="n"/>
      <c r="O244" s="21" t="n"/>
    </row>
    <row r="245">
      <c r="A245" s="24" t="n"/>
      <c r="B245" s="21" t="n"/>
      <c r="C245" s="21" t="n"/>
      <c r="D245" s="21" t="n"/>
      <c r="E245" s="21" t="n"/>
      <c r="F245" s="28" t="n"/>
      <c r="G245" s="28" t="n"/>
      <c r="H245" s="26" t="n"/>
      <c r="I245" s="10">
        <f>IF(H245&lt;&gt;"",H245,IF(AND(F245&lt;&gt;"",G245&lt;&gt;""),ROUND((G245-F245)*1440,0),""))</f>
        <v/>
      </c>
      <c r="J245" s="26" t="n"/>
      <c r="K245" s="9">
        <f>IF(D245="","",IFERROR(VLOOKUP(D245,参数!$A$5:$C$24,2,0),""))</f>
        <v/>
      </c>
      <c r="L245" s="9">
        <f>IF(D245="","",IFERROR(VLOOKUP(D245,参数!$A$5:$C$24,3,0),""))</f>
        <v/>
      </c>
      <c r="M245" s="21" t="n"/>
      <c r="N245" s="21" t="n"/>
      <c r="O245" s="21" t="n"/>
    </row>
    <row r="246">
      <c r="A246" s="24" t="n"/>
      <c r="B246" s="21" t="n"/>
      <c r="C246" s="21" t="n"/>
      <c r="D246" s="21" t="n"/>
      <c r="E246" s="21" t="n"/>
      <c r="F246" s="28" t="n"/>
      <c r="G246" s="28" t="n"/>
      <c r="H246" s="26" t="n"/>
      <c r="I246" s="10">
        <f>IF(H246&lt;&gt;"",H246,IF(AND(F246&lt;&gt;"",G246&lt;&gt;""),ROUND((G246-F246)*1440,0),""))</f>
        <v/>
      </c>
      <c r="J246" s="26" t="n"/>
      <c r="K246" s="9">
        <f>IF(D246="","",IFERROR(VLOOKUP(D246,参数!$A$5:$C$24,2,0),""))</f>
        <v/>
      </c>
      <c r="L246" s="9">
        <f>IF(D246="","",IFERROR(VLOOKUP(D246,参数!$A$5:$C$24,3,0),""))</f>
        <v/>
      </c>
      <c r="M246" s="21" t="n"/>
      <c r="N246" s="21" t="n"/>
      <c r="O246" s="21" t="n"/>
    </row>
    <row r="247">
      <c r="A247" s="24" t="n"/>
      <c r="B247" s="21" t="n"/>
      <c r="C247" s="21" t="n"/>
      <c r="D247" s="21" t="n"/>
      <c r="E247" s="21" t="n"/>
      <c r="F247" s="28" t="n"/>
      <c r="G247" s="28" t="n"/>
      <c r="H247" s="26" t="n"/>
      <c r="I247" s="10">
        <f>IF(H247&lt;&gt;"",H247,IF(AND(F247&lt;&gt;"",G247&lt;&gt;""),ROUND((G247-F247)*1440,0),""))</f>
        <v/>
      </c>
      <c r="J247" s="26" t="n"/>
      <c r="K247" s="9">
        <f>IF(D247="","",IFERROR(VLOOKUP(D247,参数!$A$5:$C$24,2,0),""))</f>
        <v/>
      </c>
      <c r="L247" s="9">
        <f>IF(D247="","",IFERROR(VLOOKUP(D247,参数!$A$5:$C$24,3,0),""))</f>
        <v/>
      </c>
      <c r="M247" s="21" t="n"/>
      <c r="N247" s="21" t="n"/>
      <c r="O247" s="21" t="n"/>
    </row>
    <row r="248">
      <c r="A248" s="24" t="n"/>
      <c r="B248" s="21" t="n"/>
      <c r="C248" s="21" t="n"/>
      <c r="D248" s="21" t="n"/>
      <c r="E248" s="21" t="n"/>
      <c r="F248" s="28" t="n"/>
      <c r="G248" s="28" t="n"/>
      <c r="H248" s="26" t="n"/>
      <c r="I248" s="10">
        <f>IF(H248&lt;&gt;"",H248,IF(AND(F248&lt;&gt;"",G248&lt;&gt;""),ROUND((G248-F248)*1440,0),""))</f>
        <v/>
      </c>
      <c r="J248" s="26" t="n"/>
      <c r="K248" s="9">
        <f>IF(D248="","",IFERROR(VLOOKUP(D248,参数!$A$5:$C$24,2,0),""))</f>
        <v/>
      </c>
      <c r="L248" s="9">
        <f>IF(D248="","",IFERROR(VLOOKUP(D248,参数!$A$5:$C$24,3,0),""))</f>
        <v/>
      </c>
      <c r="M248" s="21" t="n"/>
      <c r="N248" s="21" t="n"/>
      <c r="O248" s="21" t="n"/>
    </row>
    <row r="249">
      <c r="A249" s="24" t="n"/>
      <c r="B249" s="21" t="n"/>
      <c r="C249" s="21" t="n"/>
      <c r="D249" s="21" t="n"/>
      <c r="E249" s="21" t="n"/>
      <c r="F249" s="28" t="n"/>
      <c r="G249" s="28" t="n"/>
      <c r="H249" s="26" t="n"/>
      <c r="I249" s="10">
        <f>IF(H249&lt;&gt;"",H249,IF(AND(F249&lt;&gt;"",G249&lt;&gt;""),ROUND((G249-F249)*1440,0),""))</f>
        <v/>
      </c>
      <c r="J249" s="26" t="n"/>
      <c r="K249" s="9">
        <f>IF(D249="","",IFERROR(VLOOKUP(D249,参数!$A$5:$C$24,2,0),""))</f>
        <v/>
      </c>
      <c r="L249" s="9">
        <f>IF(D249="","",IFERROR(VLOOKUP(D249,参数!$A$5:$C$24,3,0),""))</f>
        <v/>
      </c>
      <c r="M249" s="21" t="n"/>
      <c r="N249" s="21" t="n"/>
      <c r="O249" s="21" t="n"/>
    </row>
    <row r="250">
      <c r="A250" s="24" t="n"/>
      <c r="B250" s="21" t="n"/>
      <c r="C250" s="21" t="n"/>
      <c r="D250" s="21" t="n"/>
      <c r="E250" s="21" t="n"/>
      <c r="F250" s="28" t="n"/>
      <c r="G250" s="28" t="n"/>
      <c r="H250" s="26" t="n"/>
      <c r="I250" s="10">
        <f>IF(H250&lt;&gt;"",H250,IF(AND(F250&lt;&gt;"",G250&lt;&gt;""),ROUND((G250-F250)*1440,0),""))</f>
        <v/>
      </c>
      <c r="J250" s="26" t="n"/>
      <c r="K250" s="9">
        <f>IF(D250="","",IFERROR(VLOOKUP(D250,参数!$A$5:$C$24,2,0),""))</f>
        <v/>
      </c>
      <c r="L250" s="9">
        <f>IF(D250="","",IFERROR(VLOOKUP(D250,参数!$A$5:$C$24,3,0),""))</f>
        <v/>
      </c>
      <c r="M250" s="21" t="n"/>
      <c r="N250" s="21" t="n"/>
      <c r="O250" s="21" t="n"/>
    </row>
    <row r="251">
      <c r="A251" s="24" t="n"/>
      <c r="B251" s="21" t="n"/>
      <c r="C251" s="21" t="n"/>
      <c r="D251" s="21" t="n"/>
      <c r="E251" s="21" t="n"/>
      <c r="F251" s="28" t="n"/>
      <c r="G251" s="28" t="n"/>
      <c r="H251" s="26" t="n"/>
      <c r="I251" s="10">
        <f>IF(H251&lt;&gt;"",H251,IF(AND(F251&lt;&gt;"",G251&lt;&gt;""),ROUND((G251-F251)*1440,0),""))</f>
        <v/>
      </c>
      <c r="J251" s="26" t="n"/>
      <c r="K251" s="9">
        <f>IF(D251="","",IFERROR(VLOOKUP(D251,参数!$A$5:$C$24,2,0),""))</f>
        <v/>
      </c>
      <c r="L251" s="9">
        <f>IF(D251="","",IFERROR(VLOOKUP(D251,参数!$A$5:$C$24,3,0),""))</f>
        <v/>
      </c>
      <c r="M251" s="21" t="n"/>
      <c r="N251" s="21" t="n"/>
      <c r="O251" s="21" t="n"/>
    </row>
    <row r="252">
      <c r="A252" s="24" t="n"/>
      <c r="B252" s="21" t="n"/>
      <c r="C252" s="21" t="n"/>
      <c r="D252" s="21" t="n"/>
      <c r="E252" s="21" t="n"/>
      <c r="F252" s="28" t="n"/>
      <c r="G252" s="28" t="n"/>
      <c r="H252" s="26" t="n"/>
      <c r="I252" s="10">
        <f>IF(H252&lt;&gt;"",H252,IF(AND(F252&lt;&gt;"",G252&lt;&gt;""),ROUND((G252-F252)*1440,0),""))</f>
        <v/>
      </c>
      <c r="J252" s="26" t="n"/>
      <c r="K252" s="9">
        <f>IF(D252="","",IFERROR(VLOOKUP(D252,参数!$A$5:$C$24,2,0),""))</f>
        <v/>
      </c>
      <c r="L252" s="9">
        <f>IF(D252="","",IFERROR(VLOOKUP(D252,参数!$A$5:$C$24,3,0),""))</f>
        <v/>
      </c>
      <c r="M252" s="21" t="n"/>
      <c r="N252" s="21" t="n"/>
      <c r="O252" s="21" t="n"/>
    </row>
    <row r="253">
      <c r="A253" s="24" t="n"/>
      <c r="B253" s="21" t="n"/>
      <c r="C253" s="21" t="n"/>
      <c r="D253" s="21" t="n"/>
      <c r="E253" s="21" t="n"/>
      <c r="F253" s="28" t="n"/>
      <c r="G253" s="28" t="n"/>
      <c r="H253" s="26" t="n"/>
      <c r="I253" s="10">
        <f>IF(H253&lt;&gt;"",H253,IF(AND(F253&lt;&gt;"",G253&lt;&gt;""),ROUND((G253-F253)*1440,0),""))</f>
        <v/>
      </c>
      <c r="J253" s="26" t="n"/>
      <c r="K253" s="9">
        <f>IF(D253="","",IFERROR(VLOOKUP(D253,参数!$A$5:$C$24,2,0),""))</f>
        <v/>
      </c>
      <c r="L253" s="9">
        <f>IF(D253="","",IFERROR(VLOOKUP(D253,参数!$A$5:$C$24,3,0),""))</f>
        <v/>
      </c>
      <c r="M253" s="21" t="n"/>
      <c r="N253" s="21" t="n"/>
      <c r="O253" s="21" t="n"/>
    </row>
    <row r="254">
      <c r="A254" s="24" t="n"/>
      <c r="B254" s="21" t="n"/>
      <c r="C254" s="21" t="n"/>
      <c r="D254" s="21" t="n"/>
      <c r="E254" s="21" t="n"/>
      <c r="F254" s="28" t="n"/>
      <c r="G254" s="28" t="n"/>
      <c r="H254" s="26" t="n"/>
      <c r="I254" s="10">
        <f>IF(H254&lt;&gt;"",H254,IF(AND(F254&lt;&gt;"",G254&lt;&gt;""),ROUND((G254-F254)*1440,0),""))</f>
        <v/>
      </c>
      <c r="J254" s="26" t="n"/>
      <c r="K254" s="9">
        <f>IF(D254="","",IFERROR(VLOOKUP(D254,参数!$A$5:$C$24,2,0),""))</f>
        <v/>
      </c>
      <c r="L254" s="9">
        <f>IF(D254="","",IFERROR(VLOOKUP(D254,参数!$A$5:$C$24,3,0),""))</f>
        <v/>
      </c>
      <c r="M254" s="21" t="n"/>
      <c r="N254" s="21" t="n"/>
      <c r="O254" s="21" t="n"/>
    </row>
    <row r="255">
      <c r="A255" s="24" t="n"/>
      <c r="B255" s="21" t="n"/>
      <c r="C255" s="21" t="n"/>
      <c r="D255" s="21" t="n"/>
      <c r="E255" s="21" t="n"/>
      <c r="F255" s="28" t="n"/>
      <c r="G255" s="28" t="n"/>
      <c r="H255" s="26" t="n"/>
      <c r="I255" s="10">
        <f>IF(H255&lt;&gt;"",H255,IF(AND(F255&lt;&gt;"",G255&lt;&gt;""),ROUND((G255-F255)*1440,0),""))</f>
        <v/>
      </c>
      <c r="J255" s="26" t="n"/>
      <c r="K255" s="9">
        <f>IF(D255="","",IFERROR(VLOOKUP(D255,参数!$A$5:$C$24,2,0),""))</f>
        <v/>
      </c>
      <c r="L255" s="9">
        <f>IF(D255="","",IFERROR(VLOOKUP(D255,参数!$A$5:$C$24,3,0),""))</f>
        <v/>
      </c>
      <c r="M255" s="21" t="n"/>
      <c r="N255" s="21" t="n"/>
      <c r="O255" s="21" t="n"/>
    </row>
    <row r="256">
      <c r="A256" s="24" t="n"/>
      <c r="B256" s="21" t="n"/>
      <c r="C256" s="21" t="n"/>
      <c r="D256" s="21" t="n"/>
      <c r="E256" s="21" t="n"/>
      <c r="F256" s="28" t="n"/>
      <c r="G256" s="28" t="n"/>
      <c r="H256" s="26" t="n"/>
      <c r="I256" s="10">
        <f>IF(H256&lt;&gt;"",H256,IF(AND(F256&lt;&gt;"",G256&lt;&gt;""),ROUND((G256-F256)*1440,0),""))</f>
        <v/>
      </c>
      <c r="J256" s="26" t="n"/>
      <c r="K256" s="9">
        <f>IF(D256="","",IFERROR(VLOOKUP(D256,参数!$A$5:$C$24,2,0),""))</f>
        <v/>
      </c>
      <c r="L256" s="9">
        <f>IF(D256="","",IFERROR(VLOOKUP(D256,参数!$A$5:$C$24,3,0),""))</f>
        <v/>
      </c>
      <c r="M256" s="21" t="n"/>
      <c r="N256" s="21" t="n"/>
      <c r="O256" s="21" t="n"/>
    </row>
    <row r="257">
      <c r="A257" s="24" t="n"/>
      <c r="B257" s="21" t="n"/>
      <c r="C257" s="21" t="n"/>
      <c r="D257" s="21" t="n"/>
      <c r="E257" s="21" t="n"/>
      <c r="F257" s="28" t="n"/>
      <c r="G257" s="28" t="n"/>
      <c r="H257" s="26" t="n"/>
      <c r="I257" s="10">
        <f>IF(H257&lt;&gt;"",H257,IF(AND(F257&lt;&gt;"",G257&lt;&gt;""),ROUND((G257-F257)*1440,0),""))</f>
        <v/>
      </c>
      <c r="J257" s="26" t="n"/>
      <c r="K257" s="9">
        <f>IF(D257="","",IFERROR(VLOOKUP(D257,参数!$A$5:$C$24,2,0),""))</f>
        <v/>
      </c>
      <c r="L257" s="9">
        <f>IF(D257="","",IFERROR(VLOOKUP(D257,参数!$A$5:$C$24,3,0),""))</f>
        <v/>
      </c>
      <c r="M257" s="21" t="n"/>
      <c r="N257" s="21" t="n"/>
      <c r="O257" s="21" t="n"/>
    </row>
    <row r="258">
      <c r="A258" s="24" t="n"/>
      <c r="B258" s="21" t="n"/>
      <c r="C258" s="21" t="n"/>
      <c r="D258" s="21" t="n"/>
      <c r="E258" s="21" t="n"/>
      <c r="F258" s="28" t="n"/>
      <c r="G258" s="28" t="n"/>
      <c r="H258" s="26" t="n"/>
      <c r="I258" s="10">
        <f>IF(H258&lt;&gt;"",H258,IF(AND(F258&lt;&gt;"",G258&lt;&gt;""),ROUND((G258-F258)*1440,0),""))</f>
        <v/>
      </c>
      <c r="J258" s="26" t="n"/>
      <c r="K258" s="9">
        <f>IF(D258="","",IFERROR(VLOOKUP(D258,参数!$A$5:$C$24,2,0),""))</f>
        <v/>
      </c>
      <c r="L258" s="9">
        <f>IF(D258="","",IFERROR(VLOOKUP(D258,参数!$A$5:$C$24,3,0),""))</f>
        <v/>
      </c>
      <c r="M258" s="21" t="n"/>
      <c r="N258" s="21" t="n"/>
      <c r="O258" s="21" t="n"/>
    </row>
    <row r="259">
      <c r="A259" s="24" t="n"/>
      <c r="B259" s="21" t="n"/>
      <c r="C259" s="21" t="n"/>
      <c r="D259" s="21" t="n"/>
      <c r="E259" s="21" t="n"/>
      <c r="F259" s="28" t="n"/>
      <c r="G259" s="28" t="n"/>
      <c r="H259" s="26" t="n"/>
      <c r="I259" s="10">
        <f>IF(H259&lt;&gt;"",H259,IF(AND(F259&lt;&gt;"",G259&lt;&gt;""),ROUND((G259-F259)*1440,0),""))</f>
        <v/>
      </c>
      <c r="J259" s="26" t="n"/>
      <c r="K259" s="9">
        <f>IF(D259="","",IFERROR(VLOOKUP(D259,参数!$A$5:$C$24,2,0),""))</f>
        <v/>
      </c>
      <c r="L259" s="9">
        <f>IF(D259="","",IFERROR(VLOOKUP(D259,参数!$A$5:$C$24,3,0),""))</f>
        <v/>
      </c>
      <c r="M259" s="21" t="n"/>
      <c r="N259" s="21" t="n"/>
      <c r="O259" s="21" t="n"/>
    </row>
    <row r="260">
      <c r="A260" s="24" t="n"/>
      <c r="B260" s="21" t="n"/>
      <c r="C260" s="21" t="n"/>
      <c r="D260" s="21" t="n"/>
      <c r="E260" s="21" t="n"/>
      <c r="F260" s="28" t="n"/>
      <c r="G260" s="28" t="n"/>
      <c r="H260" s="26" t="n"/>
      <c r="I260" s="10">
        <f>IF(H260&lt;&gt;"",H260,IF(AND(F260&lt;&gt;"",G260&lt;&gt;""),ROUND((G260-F260)*1440,0),""))</f>
        <v/>
      </c>
      <c r="J260" s="26" t="n"/>
      <c r="K260" s="9">
        <f>IF(D260="","",IFERROR(VLOOKUP(D260,参数!$A$5:$C$24,2,0),""))</f>
        <v/>
      </c>
      <c r="L260" s="9">
        <f>IF(D260="","",IFERROR(VLOOKUP(D260,参数!$A$5:$C$24,3,0),""))</f>
        <v/>
      </c>
      <c r="M260" s="21" t="n"/>
      <c r="N260" s="21" t="n"/>
      <c r="O260" s="21" t="n"/>
    </row>
    <row r="261">
      <c r="A261" s="24" t="n"/>
      <c r="B261" s="21" t="n"/>
      <c r="C261" s="21" t="n"/>
      <c r="D261" s="21" t="n"/>
      <c r="E261" s="21" t="n"/>
      <c r="F261" s="28" t="n"/>
      <c r="G261" s="28" t="n"/>
      <c r="H261" s="26" t="n"/>
      <c r="I261" s="10">
        <f>IF(H261&lt;&gt;"",H261,IF(AND(F261&lt;&gt;"",G261&lt;&gt;""),ROUND((G261-F261)*1440,0),""))</f>
        <v/>
      </c>
      <c r="J261" s="26" t="n"/>
      <c r="K261" s="9">
        <f>IF(D261="","",IFERROR(VLOOKUP(D261,参数!$A$5:$C$24,2,0),""))</f>
        <v/>
      </c>
      <c r="L261" s="9">
        <f>IF(D261="","",IFERROR(VLOOKUP(D261,参数!$A$5:$C$24,3,0),""))</f>
        <v/>
      </c>
      <c r="M261" s="21" t="n"/>
      <c r="N261" s="21" t="n"/>
      <c r="O261" s="21" t="n"/>
    </row>
    <row r="262">
      <c r="A262" s="24" t="n"/>
      <c r="B262" s="21" t="n"/>
      <c r="C262" s="21" t="n"/>
      <c r="D262" s="21" t="n"/>
      <c r="E262" s="21" t="n"/>
      <c r="F262" s="28" t="n"/>
      <c r="G262" s="28" t="n"/>
      <c r="H262" s="26" t="n"/>
      <c r="I262" s="10">
        <f>IF(H262&lt;&gt;"",H262,IF(AND(F262&lt;&gt;"",G262&lt;&gt;""),ROUND((G262-F262)*1440,0),""))</f>
        <v/>
      </c>
      <c r="J262" s="26" t="n"/>
      <c r="K262" s="9">
        <f>IF(D262="","",IFERROR(VLOOKUP(D262,参数!$A$5:$C$24,2,0),""))</f>
        <v/>
      </c>
      <c r="L262" s="9">
        <f>IF(D262="","",IFERROR(VLOOKUP(D262,参数!$A$5:$C$24,3,0),""))</f>
        <v/>
      </c>
      <c r="M262" s="21" t="n"/>
      <c r="N262" s="21" t="n"/>
      <c r="O262" s="21" t="n"/>
    </row>
    <row r="263">
      <c r="A263" s="24" t="n"/>
      <c r="B263" s="21" t="n"/>
      <c r="C263" s="21" t="n"/>
      <c r="D263" s="21" t="n"/>
      <c r="E263" s="21" t="n"/>
      <c r="F263" s="28" t="n"/>
      <c r="G263" s="28" t="n"/>
      <c r="H263" s="26" t="n"/>
      <c r="I263" s="10">
        <f>IF(H263&lt;&gt;"",H263,IF(AND(F263&lt;&gt;"",G263&lt;&gt;""),ROUND((G263-F263)*1440,0),""))</f>
        <v/>
      </c>
      <c r="J263" s="26" t="n"/>
      <c r="K263" s="9">
        <f>IF(D263="","",IFERROR(VLOOKUP(D263,参数!$A$5:$C$24,2,0),""))</f>
        <v/>
      </c>
      <c r="L263" s="9">
        <f>IF(D263="","",IFERROR(VLOOKUP(D263,参数!$A$5:$C$24,3,0),""))</f>
        <v/>
      </c>
      <c r="M263" s="21" t="n"/>
      <c r="N263" s="21" t="n"/>
      <c r="O263" s="21" t="n"/>
    </row>
    <row r="264">
      <c r="A264" s="24" t="n"/>
      <c r="B264" s="21" t="n"/>
      <c r="C264" s="21" t="n"/>
      <c r="D264" s="21" t="n"/>
      <c r="E264" s="21" t="n"/>
      <c r="F264" s="28" t="n"/>
      <c r="G264" s="28" t="n"/>
      <c r="H264" s="26" t="n"/>
      <c r="I264" s="10">
        <f>IF(H264&lt;&gt;"",H264,IF(AND(F264&lt;&gt;"",G264&lt;&gt;""),ROUND((G264-F264)*1440,0),""))</f>
        <v/>
      </c>
      <c r="J264" s="26" t="n"/>
      <c r="K264" s="9">
        <f>IF(D264="","",IFERROR(VLOOKUP(D264,参数!$A$5:$C$24,2,0),""))</f>
        <v/>
      </c>
      <c r="L264" s="9">
        <f>IF(D264="","",IFERROR(VLOOKUP(D264,参数!$A$5:$C$24,3,0),""))</f>
        <v/>
      </c>
      <c r="M264" s="21" t="n"/>
      <c r="N264" s="21" t="n"/>
      <c r="O264" s="21" t="n"/>
    </row>
    <row r="265">
      <c r="A265" s="24" t="n"/>
      <c r="B265" s="21" t="n"/>
      <c r="C265" s="21" t="n"/>
      <c r="D265" s="21" t="n"/>
      <c r="E265" s="21" t="n"/>
      <c r="F265" s="28" t="n"/>
      <c r="G265" s="28" t="n"/>
      <c r="H265" s="26" t="n"/>
      <c r="I265" s="10">
        <f>IF(H265&lt;&gt;"",H265,IF(AND(F265&lt;&gt;"",G265&lt;&gt;""),ROUND((G265-F265)*1440,0),""))</f>
        <v/>
      </c>
      <c r="J265" s="26" t="n"/>
      <c r="K265" s="9">
        <f>IF(D265="","",IFERROR(VLOOKUP(D265,参数!$A$5:$C$24,2,0),""))</f>
        <v/>
      </c>
      <c r="L265" s="9">
        <f>IF(D265="","",IFERROR(VLOOKUP(D265,参数!$A$5:$C$24,3,0),""))</f>
        <v/>
      </c>
      <c r="M265" s="21" t="n"/>
      <c r="N265" s="21" t="n"/>
      <c r="O265" s="21" t="n"/>
    </row>
    <row r="266">
      <c r="A266" s="24" t="n"/>
      <c r="B266" s="21" t="n"/>
      <c r="C266" s="21" t="n"/>
      <c r="D266" s="21" t="n"/>
      <c r="E266" s="21" t="n"/>
      <c r="F266" s="28" t="n"/>
      <c r="G266" s="28" t="n"/>
      <c r="H266" s="26" t="n"/>
      <c r="I266" s="10">
        <f>IF(H266&lt;&gt;"",H266,IF(AND(F266&lt;&gt;"",G266&lt;&gt;""),ROUND((G266-F266)*1440,0),""))</f>
        <v/>
      </c>
      <c r="J266" s="26" t="n"/>
      <c r="K266" s="9">
        <f>IF(D266="","",IFERROR(VLOOKUP(D266,参数!$A$5:$C$24,2,0),""))</f>
        <v/>
      </c>
      <c r="L266" s="9">
        <f>IF(D266="","",IFERROR(VLOOKUP(D266,参数!$A$5:$C$24,3,0),""))</f>
        <v/>
      </c>
      <c r="M266" s="21" t="n"/>
      <c r="N266" s="21" t="n"/>
      <c r="O266" s="21" t="n"/>
    </row>
    <row r="267">
      <c r="A267" s="24" t="n"/>
      <c r="B267" s="21" t="n"/>
      <c r="C267" s="21" t="n"/>
      <c r="D267" s="21" t="n"/>
      <c r="E267" s="21" t="n"/>
      <c r="F267" s="28" t="n"/>
      <c r="G267" s="28" t="n"/>
      <c r="H267" s="26" t="n"/>
      <c r="I267" s="10">
        <f>IF(H267&lt;&gt;"",H267,IF(AND(F267&lt;&gt;"",G267&lt;&gt;""),ROUND((G267-F267)*1440,0),""))</f>
        <v/>
      </c>
      <c r="J267" s="26" t="n"/>
      <c r="K267" s="9">
        <f>IF(D267="","",IFERROR(VLOOKUP(D267,参数!$A$5:$C$24,2,0),""))</f>
        <v/>
      </c>
      <c r="L267" s="9">
        <f>IF(D267="","",IFERROR(VLOOKUP(D267,参数!$A$5:$C$24,3,0),""))</f>
        <v/>
      </c>
      <c r="M267" s="21" t="n"/>
      <c r="N267" s="21" t="n"/>
      <c r="O267" s="21" t="n"/>
    </row>
    <row r="268">
      <c r="A268" s="24" t="n"/>
      <c r="B268" s="21" t="n"/>
      <c r="C268" s="21" t="n"/>
      <c r="D268" s="21" t="n"/>
      <c r="E268" s="21" t="n"/>
      <c r="F268" s="28" t="n"/>
      <c r="G268" s="28" t="n"/>
      <c r="H268" s="26" t="n"/>
      <c r="I268" s="10">
        <f>IF(H268&lt;&gt;"",H268,IF(AND(F268&lt;&gt;"",G268&lt;&gt;""),ROUND((G268-F268)*1440,0),""))</f>
        <v/>
      </c>
      <c r="J268" s="26" t="n"/>
      <c r="K268" s="9">
        <f>IF(D268="","",IFERROR(VLOOKUP(D268,参数!$A$5:$C$24,2,0),""))</f>
        <v/>
      </c>
      <c r="L268" s="9">
        <f>IF(D268="","",IFERROR(VLOOKUP(D268,参数!$A$5:$C$24,3,0),""))</f>
        <v/>
      </c>
      <c r="M268" s="21" t="n"/>
      <c r="N268" s="21" t="n"/>
      <c r="O268" s="21" t="n"/>
    </row>
    <row r="269">
      <c r="A269" s="24" t="n"/>
      <c r="B269" s="21" t="n"/>
      <c r="C269" s="21" t="n"/>
      <c r="D269" s="21" t="n"/>
      <c r="E269" s="21" t="n"/>
      <c r="F269" s="28" t="n"/>
      <c r="G269" s="28" t="n"/>
      <c r="H269" s="26" t="n"/>
      <c r="I269" s="10">
        <f>IF(H269&lt;&gt;"",H269,IF(AND(F269&lt;&gt;"",G269&lt;&gt;""),ROUND((G269-F269)*1440,0),""))</f>
        <v/>
      </c>
      <c r="J269" s="26" t="n"/>
      <c r="K269" s="9">
        <f>IF(D269="","",IFERROR(VLOOKUP(D269,参数!$A$5:$C$24,2,0),""))</f>
        <v/>
      </c>
      <c r="L269" s="9">
        <f>IF(D269="","",IFERROR(VLOOKUP(D269,参数!$A$5:$C$24,3,0),""))</f>
        <v/>
      </c>
      <c r="M269" s="21" t="n"/>
      <c r="N269" s="21" t="n"/>
      <c r="O269" s="21" t="n"/>
    </row>
    <row r="270">
      <c r="A270" s="24" t="n"/>
      <c r="B270" s="21" t="n"/>
      <c r="C270" s="21" t="n"/>
      <c r="D270" s="21" t="n"/>
      <c r="E270" s="21" t="n"/>
      <c r="F270" s="28" t="n"/>
      <c r="G270" s="28" t="n"/>
      <c r="H270" s="26" t="n"/>
      <c r="I270" s="10">
        <f>IF(H270&lt;&gt;"",H270,IF(AND(F270&lt;&gt;"",G270&lt;&gt;""),ROUND((G270-F270)*1440,0),""))</f>
        <v/>
      </c>
      <c r="J270" s="26" t="n"/>
      <c r="K270" s="9">
        <f>IF(D270="","",IFERROR(VLOOKUP(D270,参数!$A$5:$C$24,2,0),""))</f>
        <v/>
      </c>
      <c r="L270" s="9">
        <f>IF(D270="","",IFERROR(VLOOKUP(D270,参数!$A$5:$C$24,3,0),""))</f>
        <v/>
      </c>
      <c r="M270" s="21" t="n"/>
      <c r="N270" s="21" t="n"/>
      <c r="O270" s="21" t="n"/>
    </row>
    <row r="271">
      <c r="A271" s="24" t="n"/>
      <c r="B271" s="21" t="n"/>
      <c r="C271" s="21" t="n"/>
      <c r="D271" s="21" t="n"/>
      <c r="E271" s="21" t="n"/>
      <c r="F271" s="28" t="n"/>
      <c r="G271" s="28" t="n"/>
      <c r="H271" s="26" t="n"/>
      <c r="I271" s="10">
        <f>IF(H271&lt;&gt;"",H271,IF(AND(F271&lt;&gt;"",G271&lt;&gt;""),ROUND((G271-F271)*1440,0),""))</f>
        <v/>
      </c>
      <c r="J271" s="26" t="n"/>
      <c r="K271" s="9">
        <f>IF(D271="","",IFERROR(VLOOKUP(D271,参数!$A$5:$C$24,2,0),""))</f>
        <v/>
      </c>
      <c r="L271" s="9">
        <f>IF(D271="","",IFERROR(VLOOKUP(D271,参数!$A$5:$C$24,3,0),""))</f>
        <v/>
      </c>
      <c r="M271" s="21" t="n"/>
      <c r="N271" s="21" t="n"/>
      <c r="O271" s="21" t="n"/>
    </row>
    <row r="272">
      <c r="A272" s="24" t="n"/>
      <c r="B272" s="21" t="n"/>
      <c r="C272" s="21" t="n"/>
      <c r="D272" s="21" t="n"/>
      <c r="E272" s="21" t="n"/>
      <c r="F272" s="28" t="n"/>
      <c r="G272" s="28" t="n"/>
      <c r="H272" s="26" t="n"/>
      <c r="I272" s="10">
        <f>IF(H272&lt;&gt;"",H272,IF(AND(F272&lt;&gt;"",G272&lt;&gt;""),ROUND((G272-F272)*1440,0),""))</f>
        <v/>
      </c>
      <c r="J272" s="26" t="n"/>
      <c r="K272" s="9">
        <f>IF(D272="","",IFERROR(VLOOKUP(D272,参数!$A$5:$C$24,2,0),""))</f>
        <v/>
      </c>
      <c r="L272" s="9">
        <f>IF(D272="","",IFERROR(VLOOKUP(D272,参数!$A$5:$C$24,3,0),""))</f>
        <v/>
      </c>
      <c r="M272" s="21" t="n"/>
      <c r="N272" s="21" t="n"/>
      <c r="O272" s="21" t="n"/>
    </row>
    <row r="273">
      <c r="A273" s="24" t="n"/>
      <c r="B273" s="21" t="n"/>
      <c r="C273" s="21" t="n"/>
      <c r="D273" s="21" t="n"/>
      <c r="E273" s="21" t="n"/>
      <c r="F273" s="28" t="n"/>
      <c r="G273" s="28" t="n"/>
      <c r="H273" s="26" t="n"/>
      <c r="I273" s="10">
        <f>IF(H273&lt;&gt;"",H273,IF(AND(F273&lt;&gt;"",G273&lt;&gt;""),ROUND((G273-F273)*1440,0),""))</f>
        <v/>
      </c>
      <c r="J273" s="26" t="n"/>
      <c r="K273" s="9">
        <f>IF(D273="","",IFERROR(VLOOKUP(D273,参数!$A$5:$C$24,2,0),""))</f>
        <v/>
      </c>
      <c r="L273" s="9">
        <f>IF(D273="","",IFERROR(VLOOKUP(D273,参数!$A$5:$C$24,3,0),""))</f>
        <v/>
      </c>
      <c r="M273" s="21" t="n"/>
      <c r="N273" s="21" t="n"/>
      <c r="O273" s="21" t="n"/>
    </row>
    <row r="274">
      <c r="A274" s="24" t="n"/>
      <c r="B274" s="21" t="n"/>
      <c r="C274" s="21" t="n"/>
      <c r="D274" s="21" t="n"/>
      <c r="E274" s="21" t="n"/>
      <c r="F274" s="28" t="n"/>
      <c r="G274" s="28" t="n"/>
      <c r="H274" s="26" t="n"/>
      <c r="I274" s="10">
        <f>IF(H274&lt;&gt;"",H274,IF(AND(F274&lt;&gt;"",G274&lt;&gt;""),ROUND((G274-F274)*1440,0),""))</f>
        <v/>
      </c>
      <c r="J274" s="26" t="n"/>
      <c r="K274" s="9">
        <f>IF(D274="","",IFERROR(VLOOKUP(D274,参数!$A$5:$C$24,2,0),""))</f>
        <v/>
      </c>
      <c r="L274" s="9">
        <f>IF(D274="","",IFERROR(VLOOKUP(D274,参数!$A$5:$C$24,3,0),""))</f>
        <v/>
      </c>
      <c r="M274" s="21" t="n"/>
      <c r="N274" s="21" t="n"/>
      <c r="O274" s="21" t="n"/>
    </row>
    <row r="275">
      <c r="A275" s="24" t="n"/>
      <c r="B275" s="21" t="n"/>
      <c r="C275" s="21" t="n"/>
      <c r="D275" s="21" t="n"/>
      <c r="E275" s="21" t="n"/>
      <c r="F275" s="28" t="n"/>
      <c r="G275" s="28" t="n"/>
      <c r="H275" s="26" t="n"/>
      <c r="I275" s="10">
        <f>IF(H275&lt;&gt;"",H275,IF(AND(F275&lt;&gt;"",G275&lt;&gt;""),ROUND((G275-F275)*1440,0),""))</f>
        <v/>
      </c>
      <c r="J275" s="26" t="n"/>
      <c r="K275" s="9">
        <f>IF(D275="","",IFERROR(VLOOKUP(D275,参数!$A$5:$C$24,2,0),""))</f>
        <v/>
      </c>
      <c r="L275" s="9">
        <f>IF(D275="","",IFERROR(VLOOKUP(D275,参数!$A$5:$C$24,3,0),""))</f>
        <v/>
      </c>
      <c r="M275" s="21" t="n"/>
      <c r="N275" s="21" t="n"/>
      <c r="O275" s="21" t="n"/>
    </row>
    <row r="276">
      <c r="A276" s="24" t="n"/>
      <c r="B276" s="21" t="n"/>
      <c r="C276" s="21" t="n"/>
      <c r="D276" s="21" t="n"/>
      <c r="E276" s="21" t="n"/>
      <c r="F276" s="28" t="n"/>
      <c r="G276" s="28" t="n"/>
      <c r="H276" s="26" t="n"/>
      <c r="I276" s="10">
        <f>IF(H276&lt;&gt;"",H276,IF(AND(F276&lt;&gt;"",G276&lt;&gt;""),ROUND((G276-F276)*1440,0),""))</f>
        <v/>
      </c>
      <c r="J276" s="26" t="n"/>
      <c r="K276" s="9">
        <f>IF(D276="","",IFERROR(VLOOKUP(D276,参数!$A$5:$C$24,2,0),""))</f>
        <v/>
      </c>
      <c r="L276" s="9">
        <f>IF(D276="","",IFERROR(VLOOKUP(D276,参数!$A$5:$C$24,3,0),""))</f>
        <v/>
      </c>
      <c r="M276" s="21" t="n"/>
      <c r="N276" s="21" t="n"/>
      <c r="O276" s="21" t="n"/>
    </row>
    <row r="277">
      <c r="A277" s="24" t="n"/>
      <c r="B277" s="21" t="n"/>
      <c r="C277" s="21" t="n"/>
      <c r="D277" s="21" t="n"/>
      <c r="E277" s="21" t="n"/>
      <c r="F277" s="28" t="n"/>
      <c r="G277" s="28" t="n"/>
      <c r="H277" s="26" t="n"/>
      <c r="I277" s="10">
        <f>IF(H277&lt;&gt;"",H277,IF(AND(F277&lt;&gt;"",G277&lt;&gt;""),ROUND((G277-F277)*1440,0),""))</f>
        <v/>
      </c>
      <c r="J277" s="26" t="n"/>
      <c r="K277" s="9">
        <f>IF(D277="","",IFERROR(VLOOKUP(D277,参数!$A$5:$C$24,2,0),""))</f>
        <v/>
      </c>
      <c r="L277" s="9">
        <f>IF(D277="","",IFERROR(VLOOKUP(D277,参数!$A$5:$C$24,3,0),""))</f>
        <v/>
      </c>
      <c r="M277" s="21" t="n"/>
      <c r="N277" s="21" t="n"/>
      <c r="O277" s="21" t="n"/>
    </row>
    <row r="278">
      <c r="A278" s="24" t="n"/>
      <c r="B278" s="21" t="n"/>
      <c r="C278" s="21" t="n"/>
      <c r="D278" s="21" t="n"/>
      <c r="E278" s="21" t="n"/>
      <c r="F278" s="28" t="n"/>
      <c r="G278" s="28" t="n"/>
      <c r="H278" s="26" t="n"/>
      <c r="I278" s="10">
        <f>IF(H278&lt;&gt;"",H278,IF(AND(F278&lt;&gt;"",G278&lt;&gt;""),ROUND((G278-F278)*1440,0),""))</f>
        <v/>
      </c>
      <c r="J278" s="26" t="n"/>
      <c r="K278" s="9">
        <f>IF(D278="","",IFERROR(VLOOKUP(D278,参数!$A$5:$C$24,2,0),""))</f>
        <v/>
      </c>
      <c r="L278" s="9">
        <f>IF(D278="","",IFERROR(VLOOKUP(D278,参数!$A$5:$C$24,3,0),""))</f>
        <v/>
      </c>
      <c r="M278" s="21" t="n"/>
      <c r="N278" s="21" t="n"/>
      <c r="O278" s="21" t="n"/>
    </row>
    <row r="279">
      <c r="A279" s="24" t="n"/>
      <c r="B279" s="21" t="n"/>
      <c r="C279" s="21" t="n"/>
      <c r="D279" s="21" t="n"/>
      <c r="E279" s="21" t="n"/>
      <c r="F279" s="28" t="n"/>
      <c r="G279" s="28" t="n"/>
      <c r="H279" s="26" t="n"/>
      <c r="I279" s="10">
        <f>IF(H279&lt;&gt;"",H279,IF(AND(F279&lt;&gt;"",G279&lt;&gt;""),ROUND((G279-F279)*1440,0),""))</f>
        <v/>
      </c>
      <c r="J279" s="26" t="n"/>
      <c r="K279" s="9">
        <f>IF(D279="","",IFERROR(VLOOKUP(D279,参数!$A$5:$C$24,2,0),""))</f>
        <v/>
      </c>
      <c r="L279" s="9">
        <f>IF(D279="","",IFERROR(VLOOKUP(D279,参数!$A$5:$C$24,3,0),""))</f>
        <v/>
      </c>
      <c r="M279" s="21" t="n"/>
      <c r="N279" s="21" t="n"/>
      <c r="O279" s="21" t="n"/>
    </row>
    <row r="280">
      <c r="A280" s="24" t="n"/>
      <c r="B280" s="21" t="n"/>
      <c r="C280" s="21" t="n"/>
      <c r="D280" s="21" t="n"/>
      <c r="E280" s="21" t="n"/>
      <c r="F280" s="28" t="n"/>
      <c r="G280" s="28" t="n"/>
      <c r="H280" s="26" t="n"/>
      <c r="I280" s="10">
        <f>IF(H280&lt;&gt;"",H280,IF(AND(F280&lt;&gt;"",G280&lt;&gt;""),ROUND((G280-F280)*1440,0),""))</f>
        <v/>
      </c>
      <c r="J280" s="26" t="n"/>
      <c r="K280" s="9">
        <f>IF(D280="","",IFERROR(VLOOKUP(D280,参数!$A$5:$C$24,2,0),""))</f>
        <v/>
      </c>
      <c r="L280" s="9">
        <f>IF(D280="","",IFERROR(VLOOKUP(D280,参数!$A$5:$C$24,3,0),""))</f>
        <v/>
      </c>
      <c r="M280" s="21" t="n"/>
      <c r="N280" s="21" t="n"/>
      <c r="O280" s="21" t="n"/>
    </row>
    <row r="281">
      <c r="A281" s="24" t="n"/>
      <c r="B281" s="21" t="n"/>
      <c r="C281" s="21" t="n"/>
      <c r="D281" s="21" t="n"/>
      <c r="E281" s="21" t="n"/>
      <c r="F281" s="28" t="n"/>
      <c r="G281" s="28" t="n"/>
      <c r="H281" s="26" t="n"/>
      <c r="I281" s="10">
        <f>IF(H281&lt;&gt;"",H281,IF(AND(F281&lt;&gt;"",G281&lt;&gt;""),ROUND((G281-F281)*1440,0),""))</f>
        <v/>
      </c>
      <c r="J281" s="26" t="n"/>
      <c r="K281" s="9">
        <f>IF(D281="","",IFERROR(VLOOKUP(D281,参数!$A$5:$C$24,2,0),""))</f>
        <v/>
      </c>
      <c r="L281" s="9">
        <f>IF(D281="","",IFERROR(VLOOKUP(D281,参数!$A$5:$C$24,3,0),""))</f>
        <v/>
      </c>
      <c r="M281" s="21" t="n"/>
      <c r="N281" s="21" t="n"/>
      <c r="O281" s="21" t="n"/>
    </row>
    <row r="282">
      <c r="A282" s="24" t="n"/>
      <c r="B282" s="21" t="n"/>
      <c r="C282" s="21" t="n"/>
      <c r="D282" s="21" t="n"/>
      <c r="E282" s="21" t="n"/>
      <c r="F282" s="28" t="n"/>
      <c r="G282" s="28" t="n"/>
      <c r="H282" s="26" t="n"/>
      <c r="I282" s="10">
        <f>IF(H282&lt;&gt;"",H282,IF(AND(F282&lt;&gt;"",G282&lt;&gt;""),ROUND((G282-F282)*1440,0),""))</f>
        <v/>
      </c>
      <c r="J282" s="26" t="n"/>
      <c r="K282" s="9">
        <f>IF(D282="","",IFERROR(VLOOKUP(D282,参数!$A$5:$C$24,2,0),""))</f>
        <v/>
      </c>
      <c r="L282" s="9">
        <f>IF(D282="","",IFERROR(VLOOKUP(D282,参数!$A$5:$C$24,3,0),""))</f>
        <v/>
      </c>
      <c r="M282" s="21" t="n"/>
      <c r="N282" s="21" t="n"/>
      <c r="O282" s="21" t="n"/>
    </row>
    <row r="283">
      <c r="A283" s="24" t="n"/>
      <c r="B283" s="21" t="n"/>
      <c r="C283" s="21" t="n"/>
      <c r="D283" s="21" t="n"/>
      <c r="E283" s="21" t="n"/>
      <c r="F283" s="28" t="n"/>
      <c r="G283" s="28" t="n"/>
      <c r="H283" s="26" t="n"/>
      <c r="I283" s="10">
        <f>IF(H283&lt;&gt;"",H283,IF(AND(F283&lt;&gt;"",G283&lt;&gt;""),ROUND((G283-F283)*1440,0),""))</f>
        <v/>
      </c>
      <c r="J283" s="26" t="n"/>
      <c r="K283" s="9">
        <f>IF(D283="","",IFERROR(VLOOKUP(D283,参数!$A$5:$C$24,2,0),""))</f>
        <v/>
      </c>
      <c r="L283" s="9">
        <f>IF(D283="","",IFERROR(VLOOKUP(D283,参数!$A$5:$C$24,3,0),""))</f>
        <v/>
      </c>
      <c r="M283" s="21" t="n"/>
      <c r="N283" s="21" t="n"/>
      <c r="O283" s="21" t="n"/>
    </row>
    <row r="284">
      <c r="A284" s="24" t="n"/>
      <c r="B284" s="21" t="n"/>
      <c r="C284" s="21" t="n"/>
      <c r="D284" s="21" t="n"/>
      <c r="E284" s="21" t="n"/>
      <c r="F284" s="28" t="n"/>
      <c r="G284" s="28" t="n"/>
      <c r="H284" s="26" t="n"/>
      <c r="I284" s="10">
        <f>IF(H284&lt;&gt;"",H284,IF(AND(F284&lt;&gt;"",G284&lt;&gt;""),ROUND((G284-F284)*1440,0),""))</f>
        <v/>
      </c>
      <c r="J284" s="26" t="n"/>
      <c r="K284" s="9">
        <f>IF(D284="","",IFERROR(VLOOKUP(D284,参数!$A$5:$C$24,2,0),""))</f>
        <v/>
      </c>
      <c r="L284" s="9">
        <f>IF(D284="","",IFERROR(VLOOKUP(D284,参数!$A$5:$C$24,3,0),""))</f>
        <v/>
      </c>
      <c r="M284" s="21" t="n"/>
      <c r="N284" s="21" t="n"/>
      <c r="O284" s="21" t="n"/>
    </row>
    <row r="285">
      <c r="A285" s="24" t="n"/>
      <c r="B285" s="21" t="n"/>
      <c r="C285" s="21" t="n"/>
      <c r="D285" s="21" t="n"/>
      <c r="E285" s="21" t="n"/>
      <c r="F285" s="28" t="n"/>
      <c r="G285" s="28" t="n"/>
      <c r="H285" s="26" t="n"/>
      <c r="I285" s="10">
        <f>IF(H285&lt;&gt;"",H285,IF(AND(F285&lt;&gt;"",G285&lt;&gt;""),ROUND((G285-F285)*1440,0),""))</f>
        <v/>
      </c>
      <c r="J285" s="26" t="n"/>
      <c r="K285" s="9">
        <f>IF(D285="","",IFERROR(VLOOKUP(D285,参数!$A$5:$C$24,2,0),""))</f>
        <v/>
      </c>
      <c r="L285" s="9">
        <f>IF(D285="","",IFERROR(VLOOKUP(D285,参数!$A$5:$C$24,3,0),""))</f>
        <v/>
      </c>
      <c r="M285" s="21" t="n"/>
      <c r="N285" s="21" t="n"/>
      <c r="O285" s="21" t="n"/>
    </row>
    <row r="286">
      <c r="A286" s="24" t="n"/>
      <c r="B286" s="21" t="n"/>
      <c r="C286" s="21" t="n"/>
      <c r="D286" s="21" t="n"/>
      <c r="E286" s="21" t="n"/>
      <c r="F286" s="28" t="n"/>
      <c r="G286" s="28" t="n"/>
      <c r="H286" s="26" t="n"/>
      <c r="I286" s="10">
        <f>IF(H286&lt;&gt;"",H286,IF(AND(F286&lt;&gt;"",G286&lt;&gt;""),ROUND((G286-F286)*1440,0),""))</f>
        <v/>
      </c>
      <c r="J286" s="26" t="n"/>
      <c r="K286" s="9">
        <f>IF(D286="","",IFERROR(VLOOKUP(D286,参数!$A$5:$C$24,2,0),""))</f>
        <v/>
      </c>
      <c r="L286" s="9">
        <f>IF(D286="","",IFERROR(VLOOKUP(D286,参数!$A$5:$C$24,3,0),""))</f>
        <v/>
      </c>
      <c r="M286" s="21" t="n"/>
      <c r="N286" s="21" t="n"/>
      <c r="O286" s="21" t="n"/>
    </row>
    <row r="287">
      <c r="A287" s="24" t="n"/>
      <c r="B287" s="21" t="n"/>
      <c r="C287" s="21" t="n"/>
      <c r="D287" s="21" t="n"/>
      <c r="E287" s="21" t="n"/>
      <c r="F287" s="28" t="n"/>
      <c r="G287" s="28" t="n"/>
      <c r="H287" s="26" t="n"/>
      <c r="I287" s="10">
        <f>IF(H287&lt;&gt;"",H287,IF(AND(F287&lt;&gt;"",G287&lt;&gt;""),ROUND((G287-F287)*1440,0),""))</f>
        <v/>
      </c>
      <c r="J287" s="26" t="n"/>
      <c r="K287" s="9">
        <f>IF(D287="","",IFERROR(VLOOKUP(D287,参数!$A$5:$C$24,2,0),""))</f>
        <v/>
      </c>
      <c r="L287" s="9">
        <f>IF(D287="","",IFERROR(VLOOKUP(D287,参数!$A$5:$C$24,3,0),""))</f>
        <v/>
      </c>
      <c r="M287" s="21" t="n"/>
      <c r="N287" s="21" t="n"/>
      <c r="O287" s="21" t="n"/>
    </row>
    <row r="288">
      <c r="A288" s="24" t="n"/>
      <c r="B288" s="21" t="n"/>
      <c r="C288" s="21" t="n"/>
      <c r="D288" s="21" t="n"/>
      <c r="E288" s="21" t="n"/>
      <c r="F288" s="28" t="n"/>
      <c r="G288" s="28" t="n"/>
      <c r="H288" s="26" t="n"/>
      <c r="I288" s="10">
        <f>IF(H288&lt;&gt;"",H288,IF(AND(F288&lt;&gt;"",G288&lt;&gt;""),ROUND((G288-F288)*1440,0),""))</f>
        <v/>
      </c>
      <c r="J288" s="26" t="n"/>
      <c r="K288" s="9">
        <f>IF(D288="","",IFERROR(VLOOKUP(D288,参数!$A$5:$C$24,2,0),""))</f>
        <v/>
      </c>
      <c r="L288" s="9">
        <f>IF(D288="","",IFERROR(VLOOKUP(D288,参数!$A$5:$C$24,3,0),""))</f>
        <v/>
      </c>
      <c r="M288" s="21" t="n"/>
      <c r="N288" s="21" t="n"/>
      <c r="O288" s="21" t="n"/>
    </row>
    <row r="289">
      <c r="A289" s="24" t="n"/>
      <c r="B289" s="21" t="n"/>
      <c r="C289" s="21" t="n"/>
      <c r="D289" s="21" t="n"/>
      <c r="E289" s="21" t="n"/>
      <c r="F289" s="28" t="n"/>
      <c r="G289" s="28" t="n"/>
      <c r="H289" s="26" t="n"/>
      <c r="I289" s="10">
        <f>IF(H289&lt;&gt;"",H289,IF(AND(F289&lt;&gt;"",G289&lt;&gt;""),ROUND((G289-F289)*1440,0),""))</f>
        <v/>
      </c>
      <c r="J289" s="26" t="n"/>
      <c r="K289" s="9">
        <f>IF(D289="","",IFERROR(VLOOKUP(D289,参数!$A$5:$C$24,2,0),""))</f>
        <v/>
      </c>
      <c r="L289" s="9">
        <f>IF(D289="","",IFERROR(VLOOKUP(D289,参数!$A$5:$C$24,3,0),""))</f>
        <v/>
      </c>
      <c r="M289" s="21" t="n"/>
      <c r="N289" s="21" t="n"/>
      <c r="O289" s="21" t="n"/>
    </row>
    <row r="290">
      <c r="A290" s="24" t="n"/>
      <c r="B290" s="21" t="n"/>
      <c r="C290" s="21" t="n"/>
      <c r="D290" s="21" t="n"/>
      <c r="E290" s="21" t="n"/>
      <c r="F290" s="28" t="n"/>
      <c r="G290" s="28" t="n"/>
      <c r="H290" s="26" t="n"/>
      <c r="I290" s="10">
        <f>IF(H290&lt;&gt;"",H290,IF(AND(F290&lt;&gt;"",G290&lt;&gt;""),ROUND((G290-F290)*1440,0),""))</f>
        <v/>
      </c>
      <c r="J290" s="26" t="n"/>
      <c r="K290" s="9">
        <f>IF(D290="","",IFERROR(VLOOKUP(D290,参数!$A$5:$C$24,2,0),""))</f>
        <v/>
      </c>
      <c r="L290" s="9">
        <f>IF(D290="","",IFERROR(VLOOKUP(D290,参数!$A$5:$C$24,3,0),""))</f>
        <v/>
      </c>
      <c r="M290" s="21" t="n"/>
      <c r="N290" s="21" t="n"/>
      <c r="O290" s="21" t="n"/>
    </row>
    <row r="291">
      <c r="A291" s="24" t="n"/>
      <c r="B291" s="21" t="n"/>
      <c r="C291" s="21" t="n"/>
      <c r="D291" s="21" t="n"/>
      <c r="E291" s="21" t="n"/>
      <c r="F291" s="28" t="n"/>
      <c r="G291" s="28" t="n"/>
      <c r="H291" s="26" t="n"/>
      <c r="I291" s="10">
        <f>IF(H291&lt;&gt;"",H291,IF(AND(F291&lt;&gt;"",G291&lt;&gt;""),ROUND((G291-F291)*1440,0),""))</f>
        <v/>
      </c>
      <c r="J291" s="26" t="n"/>
      <c r="K291" s="9">
        <f>IF(D291="","",IFERROR(VLOOKUP(D291,参数!$A$5:$C$24,2,0),""))</f>
        <v/>
      </c>
      <c r="L291" s="9">
        <f>IF(D291="","",IFERROR(VLOOKUP(D291,参数!$A$5:$C$24,3,0),""))</f>
        <v/>
      </c>
      <c r="M291" s="21" t="n"/>
      <c r="N291" s="21" t="n"/>
      <c r="O291" s="21" t="n"/>
    </row>
    <row r="292">
      <c r="A292" s="24" t="n"/>
      <c r="B292" s="21" t="n"/>
      <c r="C292" s="21" t="n"/>
      <c r="D292" s="21" t="n"/>
      <c r="E292" s="21" t="n"/>
      <c r="F292" s="28" t="n"/>
      <c r="G292" s="28" t="n"/>
      <c r="H292" s="26" t="n"/>
      <c r="I292" s="10">
        <f>IF(H292&lt;&gt;"",H292,IF(AND(F292&lt;&gt;"",G292&lt;&gt;""),ROUND((G292-F292)*1440,0),""))</f>
        <v/>
      </c>
      <c r="J292" s="26" t="n"/>
      <c r="K292" s="9">
        <f>IF(D292="","",IFERROR(VLOOKUP(D292,参数!$A$5:$C$24,2,0),""))</f>
        <v/>
      </c>
      <c r="L292" s="9">
        <f>IF(D292="","",IFERROR(VLOOKUP(D292,参数!$A$5:$C$24,3,0),""))</f>
        <v/>
      </c>
      <c r="M292" s="21" t="n"/>
      <c r="N292" s="21" t="n"/>
      <c r="O292" s="21" t="n"/>
    </row>
    <row r="293">
      <c r="A293" s="24" t="n"/>
      <c r="B293" s="21" t="n"/>
      <c r="C293" s="21" t="n"/>
      <c r="D293" s="21" t="n"/>
      <c r="E293" s="21" t="n"/>
      <c r="F293" s="28" t="n"/>
      <c r="G293" s="28" t="n"/>
      <c r="H293" s="26" t="n"/>
      <c r="I293" s="10">
        <f>IF(H293&lt;&gt;"",H293,IF(AND(F293&lt;&gt;"",G293&lt;&gt;""),ROUND((G293-F293)*1440,0),""))</f>
        <v/>
      </c>
      <c r="J293" s="26" t="n"/>
      <c r="K293" s="9">
        <f>IF(D293="","",IFERROR(VLOOKUP(D293,参数!$A$5:$C$24,2,0),""))</f>
        <v/>
      </c>
      <c r="L293" s="9">
        <f>IF(D293="","",IFERROR(VLOOKUP(D293,参数!$A$5:$C$24,3,0),""))</f>
        <v/>
      </c>
      <c r="M293" s="21" t="n"/>
      <c r="N293" s="21" t="n"/>
      <c r="O293" s="21" t="n"/>
    </row>
    <row r="294">
      <c r="A294" s="24" t="n"/>
      <c r="B294" s="21" t="n"/>
      <c r="C294" s="21" t="n"/>
      <c r="D294" s="21" t="n"/>
      <c r="E294" s="21" t="n"/>
      <c r="F294" s="28" t="n"/>
      <c r="G294" s="28" t="n"/>
      <c r="H294" s="26" t="n"/>
      <c r="I294" s="10">
        <f>IF(H294&lt;&gt;"",H294,IF(AND(F294&lt;&gt;"",G294&lt;&gt;""),ROUND((G294-F294)*1440,0),""))</f>
        <v/>
      </c>
      <c r="J294" s="26" t="n"/>
      <c r="K294" s="9">
        <f>IF(D294="","",IFERROR(VLOOKUP(D294,参数!$A$5:$C$24,2,0),""))</f>
        <v/>
      </c>
      <c r="L294" s="9">
        <f>IF(D294="","",IFERROR(VLOOKUP(D294,参数!$A$5:$C$24,3,0),""))</f>
        <v/>
      </c>
      <c r="M294" s="21" t="n"/>
      <c r="N294" s="21" t="n"/>
      <c r="O294" s="21" t="n"/>
    </row>
    <row r="295">
      <c r="A295" s="24" t="n"/>
      <c r="B295" s="21" t="n"/>
      <c r="C295" s="21" t="n"/>
      <c r="D295" s="21" t="n"/>
      <c r="E295" s="21" t="n"/>
      <c r="F295" s="28" t="n"/>
      <c r="G295" s="28" t="n"/>
      <c r="H295" s="26" t="n"/>
      <c r="I295" s="10">
        <f>IF(H295&lt;&gt;"",H295,IF(AND(F295&lt;&gt;"",G295&lt;&gt;""),ROUND((G295-F295)*1440,0),""))</f>
        <v/>
      </c>
      <c r="J295" s="26" t="n"/>
      <c r="K295" s="9">
        <f>IF(D295="","",IFERROR(VLOOKUP(D295,参数!$A$5:$C$24,2,0),""))</f>
        <v/>
      </c>
      <c r="L295" s="9">
        <f>IF(D295="","",IFERROR(VLOOKUP(D295,参数!$A$5:$C$24,3,0),""))</f>
        <v/>
      </c>
      <c r="M295" s="21" t="n"/>
      <c r="N295" s="21" t="n"/>
      <c r="O295" s="21" t="n"/>
    </row>
    <row r="296">
      <c r="A296" s="24" t="n"/>
      <c r="B296" s="21" t="n"/>
      <c r="C296" s="21" t="n"/>
      <c r="D296" s="21" t="n"/>
      <c r="E296" s="21" t="n"/>
      <c r="F296" s="28" t="n"/>
      <c r="G296" s="28" t="n"/>
      <c r="H296" s="26" t="n"/>
      <c r="I296" s="10">
        <f>IF(H296&lt;&gt;"",H296,IF(AND(F296&lt;&gt;"",G296&lt;&gt;""),ROUND((G296-F296)*1440,0),""))</f>
        <v/>
      </c>
      <c r="J296" s="26" t="n"/>
      <c r="K296" s="9">
        <f>IF(D296="","",IFERROR(VLOOKUP(D296,参数!$A$5:$C$24,2,0),""))</f>
        <v/>
      </c>
      <c r="L296" s="9">
        <f>IF(D296="","",IFERROR(VLOOKUP(D296,参数!$A$5:$C$24,3,0),""))</f>
        <v/>
      </c>
      <c r="M296" s="21" t="n"/>
      <c r="N296" s="21" t="n"/>
      <c r="O296" s="21" t="n"/>
    </row>
    <row r="297">
      <c r="A297" s="24" t="n"/>
      <c r="B297" s="21" t="n"/>
      <c r="C297" s="21" t="n"/>
      <c r="D297" s="21" t="n"/>
      <c r="E297" s="21" t="n"/>
      <c r="F297" s="28" t="n"/>
      <c r="G297" s="28" t="n"/>
      <c r="H297" s="26" t="n"/>
      <c r="I297" s="10">
        <f>IF(H297&lt;&gt;"",H297,IF(AND(F297&lt;&gt;"",G297&lt;&gt;""),ROUND((G297-F297)*1440,0),""))</f>
        <v/>
      </c>
      <c r="J297" s="26" t="n"/>
      <c r="K297" s="9">
        <f>IF(D297="","",IFERROR(VLOOKUP(D297,参数!$A$5:$C$24,2,0),""))</f>
        <v/>
      </c>
      <c r="L297" s="9">
        <f>IF(D297="","",IFERROR(VLOOKUP(D297,参数!$A$5:$C$24,3,0),""))</f>
        <v/>
      </c>
      <c r="M297" s="21" t="n"/>
      <c r="N297" s="21" t="n"/>
      <c r="O297" s="21" t="n"/>
    </row>
    <row r="298">
      <c r="A298" s="24" t="n"/>
      <c r="B298" s="21" t="n"/>
      <c r="C298" s="21" t="n"/>
      <c r="D298" s="21" t="n"/>
      <c r="E298" s="21" t="n"/>
      <c r="F298" s="28" t="n"/>
      <c r="G298" s="28" t="n"/>
      <c r="H298" s="26" t="n"/>
      <c r="I298" s="10">
        <f>IF(H298&lt;&gt;"",H298,IF(AND(F298&lt;&gt;"",G298&lt;&gt;""),ROUND((G298-F298)*1440,0),""))</f>
        <v/>
      </c>
      <c r="J298" s="26" t="n"/>
      <c r="K298" s="9">
        <f>IF(D298="","",IFERROR(VLOOKUP(D298,参数!$A$5:$C$24,2,0),""))</f>
        <v/>
      </c>
      <c r="L298" s="9">
        <f>IF(D298="","",IFERROR(VLOOKUP(D298,参数!$A$5:$C$24,3,0),""))</f>
        <v/>
      </c>
      <c r="M298" s="21" t="n"/>
      <c r="N298" s="21" t="n"/>
      <c r="O298" s="21" t="n"/>
    </row>
    <row r="299">
      <c r="A299" s="24" t="n"/>
      <c r="B299" s="21" t="n"/>
      <c r="C299" s="21" t="n"/>
      <c r="D299" s="21" t="n"/>
      <c r="E299" s="21" t="n"/>
      <c r="F299" s="28" t="n"/>
      <c r="G299" s="28" t="n"/>
      <c r="H299" s="26" t="n"/>
      <c r="I299" s="10">
        <f>IF(H299&lt;&gt;"",H299,IF(AND(F299&lt;&gt;"",G299&lt;&gt;""),ROUND((G299-F299)*1440,0),""))</f>
        <v/>
      </c>
      <c r="J299" s="26" t="n"/>
      <c r="K299" s="9">
        <f>IF(D299="","",IFERROR(VLOOKUP(D299,参数!$A$5:$C$24,2,0),""))</f>
        <v/>
      </c>
      <c r="L299" s="9">
        <f>IF(D299="","",IFERROR(VLOOKUP(D299,参数!$A$5:$C$24,3,0),""))</f>
        <v/>
      </c>
      <c r="M299" s="21" t="n"/>
      <c r="N299" s="21" t="n"/>
      <c r="O299" s="21" t="n"/>
    </row>
    <row r="300">
      <c r="A300" s="24" t="n"/>
      <c r="B300" s="21" t="n"/>
      <c r="C300" s="21" t="n"/>
      <c r="D300" s="21" t="n"/>
      <c r="E300" s="21" t="n"/>
      <c r="F300" s="28" t="n"/>
      <c r="G300" s="28" t="n"/>
      <c r="H300" s="26" t="n"/>
      <c r="I300" s="10">
        <f>IF(H300&lt;&gt;"",H300,IF(AND(F300&lt;&gt;"",G300&lt;&gt;""),ROUND((G300-F300)*1440,0),""))</f>
        <v/>
      </c>
      <c r="J300" s="26" t="n"/>
      <c r="K300" s="9">
        <f>IF(D300="","",IFERROR(VLOOKUP(D300,参数!$A$5:$C$24,2,0),""))</f>
        <v/>
      </c>
      <c r="L300" s="9">
        <f>IF(D300="","",IFERROR(VLOOKUP(D300,参数!$A$5:$C$24,3,0),""))</f>
        <v/>
      </c>
      <c r="M300" s="21" t="n"/>
      <c r="N300" s="21" t="n"/>
      <c r="O300" s="21" t="n"/>
    </row>
    <row r="301">
      <c r="A301" s="24" t="n"/>
      <c r="B301" s="21" t="n"/>
      <c r="C301" s="21" t="n"/>
      <c r="D301" s="21" t="n"/>
      <c r="E301" s="21" t="n"/>
      <c r="F301" s="28" t="n"/>
      <c r="G301" s="28" t="n"/>
      <c r="H301" s="26" t="n"/>
      <c r="I301" s="10">
        <f>IF(H301&lt;&gt;"",H301,IF(AND(F301&lt;&gt;"",G301&lt;&gt;""),ROUND((G301-F301)*1440,0),""))</f>
        <v/>
      </c>
      <c r="J301" s="26" t="n"/>
      <c r="K301" s="9">
        <f>IF(D301="","",IFERROR(VLOOKUP(D301,参数!$A$5:$C$24,2,0),""))</f>
        <v/>
      </c>
      <c r="L301" s="9">
        <f>IF(D301="","",IFERROR(VLOOKUP(D301,参数!$A$5:$C$24,3,0),""))</f>
        <v/>
      </c>
      <c r="M301" s="21" t="n"/>
      <c r="N301" s="21" t="n"/>
      <c r="O301" s="21" t="n"/>
    </row>
    <row r="302">
      <c r="A302" s="24" t="n"/>
      <c r="B302" s="21" t="n"/>
      <c r="C302" s="21" t="n"/>
      <c r="D302" s="21" t="n"/>
      <c r="E302" s="21" t="n"/>
      <c r="F302" s="28" t="n"/>
      <c r="G302" s="28" t="n"/>
      <c r="H302" s="26" t="n"/>
      <c r="I302" s="10">
        <f>IF(H302&lt;&gt;"",H302,IF(AND(F302&lt;&gt;"",G302&lt;&gt;""),ROUND((G302-F302)*1440,0),""))</f>
        <v/>
      </c>
      <c r="J302" s="26" t="n"/>
      <c r="K302" s="9">
        <f>IF(D302="","",IFERROR(VLOOKUP(D302,参数!$A$5:$C$24,2,0),""))</f>
        <v/>
      </c>
      <c r="L302" s="9">
        <f>IF(D302="","",IFERROR(VLOOKUP(D302,参数!$A$5:$C$24,3,0),""))</f>
        <v/>
      </c>
      <c r="M302" s="21" t="n"/>
      <c r="N302" s="21" t="n"/>
      <c r="O302" s="21" t="n"/>
    </row>
    <row r="303">
      <c r="A303" s="24" t="n"/>
      <c r="B303" s="21" t="n"/>
      <c r="C303" s="21" t="n"/>
      <c r="D303" s="21" t="n"/>
      <c r="E303" s="21" t="n"/>
      <c r="F303" s="28" t="n"/>
      <c r="G303" s="28" t="n"/>
      <c r="H303" s="26" t="n"/>
      <c r="I303" s="10">
        <f>IF(H303&lt;&gt;"",H303,IF(AND(F303&lt;&gt;"",G303&lt;&gt;""),ROUND((G303-F303)*1440,0),""))</f>
        <v/>
      </c>
      <c r="J303" s="26" t="n"/>
      <c r="K303" s="9">
        <f>IF(D303="","",IFERROR(VLOOKUP(D303,参数!$A$5:$C$24,2,0),""))</f>
        <v/>
      </c>
      <c r="L303" s="9">
        <f>IF(D303="","",IFERROR(VLOOKUP(D303,参数!$A$5:$C$24,3,0),""))</f>
        <v/>
      </c>
      <c r="M303" s="21" t="n"/>
      <c r="N303" s="21" t="n"/>
      <c r="O303" s="21" t="n"/>
    </row>
    <row r="304">
      <c r="A304" s="24" t="n"/>
      <c r="B304" s="21" t="n"/>
      <c r="C304" s="21" t="n"/>
      <c r="D304" s="21" t="n"/>
      <c r="E304" s="21" t="n"/>
      <c r="F304" s="28" t="n"/>
      <c r="G304" s="28" t="n"/>
      <c r="H304" s="26" t="n"/>
      <c r="I304" s="10">
        <f>IF(H304&lt;&gt;"",H304,IF(AND(F304&lt;&gt;"",G304&lt;&gt;""),ROUND((G304-F304)*1440,0),""))</f>
        <v/>
      </c>
      <c r="J304" s="26" t="n"/>
      <c r="K304" s="9">
        <f>IF(D304="","",IFERROR(VLOOKUP(D304,参数!$A$5:$C$24,2,0),""))</f>
        <v/>
      </c>
      <c r="L304" s="9">
        <f>IF(D304="","",IFERROR(VLOOKUP(D304,参数!$A$5:$C$24,3,0),""))</f>
        <v/>
      </c>
      <c r="M304" s="21" t="n"/>
      <c r="N304" s="21" t="n"/>
      <c r="O304" s="21" t="n"/>
    </row>
    <row r="305">
      <c r="A305" s="24" t="n"/>
      <c r="B305" s="21" t="n"/>
      <c r="C305" s="21" t="n"/>
      <c r="D305" s="21" t="n"/>
      <c r="E305" s="21" t="n"/>
      <c r="F305" s="28" t="n"/>
      <c r="G305" s="28" t="n"/>
      <c r="H305" s="26" t="n"/>
      <c r="I305" s="10">
        <f>IF(H305&lt;&gt;"",H305,IF(AND(F305&lt;&gt;"",G305&lt;&gt;""),ROUND((G305-F305)*1440,0),""))</f>
        <v/>
      </c>
      <c r="J305" s="26" t="n"/>
      <c r="K305" s="9">
        <f>IF(D305="","",IFERROR(VLOOKUP(D305,参数!$A$5:$C$24,2,0),""))</f>
        <v/>
      </c>
      <c r="L305" s="9">
        <f>IF(D305="","",IFERROR(VLOOKUP(D305,参数!$A$5:$C$24,3,0),""))</f>
        <v/>
      </c>
      <c r="M305" s="21" t="n"/>
      <c r="N305" s="21" t="n"/>
      <c r="O305" s="21" t="n"/>
    </row>
    <row r="306">
      <c r="A306" s="24" t="n"/>
      <c r="B306" s="21" t="n"/>
      <c r="C306" s="21" t="n"/>
      <c r="D306" s="21" t="n"/>
      <c r="E306" s="21" t="n"/>
      <c r="F306" s="28" t="n"/>
      <c r="G306" s="28" t="n"/>
      <c r="H306" s="26" t="n"/>
      <c r="I306" s="10">
        <f>IF(H306&lt;&gt;"",H306,IF(AND(F306&lt;&gt;"",G306&lt;&gt;""),ROUND((G306-F306)*1440,0),""))</f>
        <v/>
      </c>
      <c r="J306" s="26" t="n"/>
      <c r="K306" s="9">
        <f>IF(D306="","",IFERROR(VLOOKUP(D306,参数!$A$5:$C$24,2,0),""))</f>
        <v/>
      </c>
      <c r="L306" s="9">
        <f>IF(D306="","",IFERROR(VLOOKUP(D306,参数!$A$5:$C$24,3,0),""))</f>
        <v/>
      </c>
      <c r="M306" s="21" t="n"/>
      <c r="N306" s="21" t="n"/>
      <c r="O306" s="21" t="n"/>
    </row>
    <row r="307">
      <c r="A307" s="24" t="n"/>
      <c r="B307" s="21" t="n"/>
      <c r="C307" s="21" t="n"/>
      <c r="D307" s="21" t="n"/>
      <c r="E307" s="21" t="n"/>
      <c r="F307" s="28" t="n"/>
      <c r="G307" s="28" t="n"/>
      <c r="H307" s="26" t="n"/>
      <c r="I307" s="10">
        <f>IF(H307&lt;&gt;"",H307,IF(AND(F307&lt;&gt;"",G307&lt;&gt;""),ROUND((G307-F307)*1440,0),""))</f>
        <v/>
      </c>
      <c r="J307" s="26" t="n"/>
      <c r="K307" s="9">
        <f>IF(D307="","",IFERROR(VLOOKUP(D307,参数!$A$5:$C$24,2,0),""))</f>
        <v/>
      </c>
      <c r="L307" s="9">
        <f>IF(D307="","",IFERROR(VLOOKUP(D307,参数!$A$5:$C$24,3,0),""))</f>
        <v/>
      </c>
      <c r="M307" s="21" t="n"/>
      <c r="N307" s="21" t="n"/>
      <c r="O307" s="21" t="n"/>
    </row>
    <row r="308">
      <c r="A308" s="24" t="n"/>
      <c r="B308" s="21" t="n"/>
      <c r="C308" s="21" t="n"/>
      <c r="D308" s="21" t="n"/>
      <c r="E308" s="21" t="n"/>
      <c r="F308" s="28" t="n"/>
      <c r="G308" s="28" t="n"/>
      <c r="H308" s="26" t="n"/>
      <c r="I308" s="10">
        <f>IF(H308&lt;&gt;"",H308,IF(AND(F308&lt;&gt;"",G308&lt;&gt;""),ROUND((G308-F308)*1440,0),""))</f>
        <v/>
      </c>
      <c r="J308" s="26" t="n"/>
      <c r="K308" s="9">
        <f>IF(D308="","",IFERROR(VLOOKUP(D308,参数!$A$5:$C$24,2,0),""))</f>
        <v/>
      </c>
      <c r="L308" s="9">
        <f>IF(D308="","",IFERROR(VLOOKUP(D308,参数!$A$5:$C$24,3,0),""))</f>
        <v/>
      </c>
      <c r="M308" s="21" t="n"/>
      <c r="N308" s="21" t="n"/>
      <c r="O308" s="21" t="n"/>
    </row>
    <row r="309">
      <c r="A309" s="24" t="n"/>
      <c r="B309" s="21" t="n"/>
      <c r="C309" s="21" t="n"/>
      <c r="D309" s="21" t="n"/>
      <c r="E309" s="21" t="n"/>
      <c r="F309" s="28" t="n"/>
      <c r="G309" s="28" t="n"/>
      <c r="H309" s="26" t="n"/>
      <c r="I309" s="10">
        <f>IF(H309&lt;&gt;"",H309,IF(AND(F309&lt;&gt;"",G309&lt;&gt;""),ROUND((G309-F309)*1440,0),""))</f>
        <v/>
      </c>
      <c r="J309" s="26" t="n"/>
      <c r="K309" s="9">
        <f>IF(D309="","",IFERROR(VLOOKUP(D309,参数!$A$5:$C$24,2,0),""))</f>
        <v/>
      </c>
      <c r="L309" s="9">
        <f>IF(D309="","",IFERROR(VLOOKUP(D309,参数!$A$5:$C$24,3,0),""))</f>
        <v/>
      </c>
      <c r="M309" s="21" t="n"/>
      <c r="N309" s="21" t="n"/>
      <c r="O309" s="21" t="n"/>
    </row>
    <row r="310">
      <c r="A310" s="24" t="n"/>
      <c r="B310" s="21" t="n"/>
      <c r="C310" s="21" t="n"/>
      <c r="D310" s="21" t="n"/>
      <c r="E310" s="21" t="n"/>
      <c r="F310" s="28" t="n"/>
      <c r="G310" s="28" t="n"/>
      <c r="H310" s="26" t="n"/>
      <c r="I310" s="10">
        <f>IF(H310&lt;&gt;"",H310,IF(AND(F310&lt;&gt;"",G310&lt;&gt;""),ROUND((G310-F310)*1440,0),""))</f>
        <v/>
      </c>
      <c r="J310" s="26" t="n"/>
      <c r="K310" s="9">
        <f>IF(D310="","",IFERROR(VLOOKUP(D310,参数!$A$5:$C$24,2,0),""))</f>
        <v/>
      </c>
      <c r="L310" s="9">
        <f>IF(D310="","",IFERROR(VLOOKUP(D310,参数!$A$5:$C$24,3,0),""))</f>
        <v/>
      </c>
      <c r="M310" s="21" t="n"/>
      <c r="N310" s="21" t="n"/>
      <c r="O310" s="21" t="n"/>
    </row>
    <row r="311">
      <c r="A311" s="24" t="n"/>
      <c r="B311" s="21" t="n"/>
      <c r="C311" s="21" t="n"/>
      <c r="D311" s="21" t="n"/>
      <c r="E311" s="21" t="n"/>
      <c r="F311" s="28" t="n"/>
      <c r="G311" s="28" t="n"/>
      <c r="H311" s="26" t="n"/>
      <c r="I311" s="10">
        <f>IF(H311&lt;&gt;"",H311,IF(AND(F311&lt;&gt;"",G311&lt;&gt;""),ROUND((G311-F311)*1440,0),""))</f>
        <v/>
      </c>
      <c r="J311" s="26" t="n"/>
      <c r="K311" s="9">
        <f>IF(D311="","",IFERROR(VLOOKUP(D311,参数!$A$5:$C$24,2,0),""))</f>
        <v/>
      </c>
      <c r="L311" s="9">
        <f>IF(D311="","",IFERROR(VLOOKUP(D311,参数!$A$5:$C$24,3,0),""))</f>
        <v/>
      </c>
      <c r="M311" s="21" t="n"/>
      <c r="N311" s="21" t="n"/>
      <c r="O311" s="21" t="n"/>
    </row>
    <row r="312">
      <c r="A312" s="24" t="n"/>
      <c r="B312" s="21" t="n"/>
      <c r="C312" s="21" t="n"/>
      <c r="D312" s="21" t="n"/>
      <c r="E312" s="21" t="n"/>
      <c r="F312" s="28" t="n"/>
      <c r="G312" s="28" t="n"/>
      <c r="H312" s="26" t="n"/>
      <c r="I312" s="10">
        <f>IF(H312&lt;&gt;"",H312,IF(AND(F312&lt;&gt;"",G312&lt;&gt;""),ROUND((G312-F312)*1440,0),""))</f>
        <v/>
      </c>
      <c r="J312" s="26" t="n"/>
      <c r="K312" s="9">
        <f>IF(D312="","",IFERROR(VLOOKUP(D312,参数!$A$5:$C$24,2,0),""))</f>
        <v/>
      </c>
      <c r="L312" s="9">
        <f>IF(D312="","",IFERROR(VLOOKUP(D312,参数!$A$5:$C$24,3,0),""))</f>
        <v/>
      </c>
      <c r="M312" s="21" t="n"/>
      <c r="N312" s="21" t="n"/>
      <c r="O312" s="21" t="n"/>
    </row>
    <row r="313">
      <c r="A313" s="24" t="n"/>
      <c r="B313" s="21" t="n"/>
      <c r="C313" s="21" t="n"/>
      <c r="D313" s="21" t="n"/>
      <c r="E313" s="21" t="n"/>
      <c r="F313" s="28" t="n"/>
      <c r="G313" s="28" t="n"/>
      <c r="H313" s="26" t="n"/>
      <c r="I313" s="10">
        <f>IF(H313&lt;&gt;"",H313,IF(AND(F313&lt;&gt;"",G313&lt;&gt;""),ROUND((G313-F313)*1440,0),""))</f>
        <v/>
      </c>
      <c r="J313" s="26" t="n"/>
      <c r="K313" s="9">
        <f>IF(D313="","",IFERROR(VLOOKUP(D313,参数!$A$5:$C$24,2,0),""))</f>
        <v/>
      </c>
      <c r="L313" s="9">
        <f>IF(D313="","",IFERROR(VLOOKUP(D313,参数!$A$5:$C$24,3,0),""))</f>
        <v/>
      </c>
      <c r="M313" s="21" t="n"/>
      <c r="N313" s="21" t="n"/>
      <c r="O313" s="21" t="n"/>
    </row>
    <row r="314">
      <c r="A314" s="24" t="n"/>
      <c r="B314" s="21" t="n"/>
      <c r="C314" s="21" t="n"/>
      <c r="D314" s="21" t="n"/>
      <c r="E314" s="21" t="n"/>
      <c r="F314" s="28" t="n"/>
      <c r="G314" s="28" t="n"/>
      <c r="H314" s="26" t="n"/>
      <c r="I314" s="10">
        <f>IF(H314&lt;&gt;"",H314,IF(AND(F314&lt;&gt;"",G314&lt;&gt;""),ROUND((G314-F314)*1440,0),""))</f>
        <v/>
      </c>
      <c r="J314" s="26" t="n"/>
      <c r="K314" s="9">
        <f>IF(D314="","",IFERROR(VLOOKUP(D314,参数!$A$5:$C$24,2,0),""))</f>
        <v/>
      </c>
      <c r="L314" s="9">
        <f>IF(D314="","",IFERROR(VLOOKUP(D314,参数!$A$5:$C$24,3,0),""))</f>
        <v/>
      </c>
      <c r="M314" s="21" t="n"/>
      <c r="N314" s="21" t="n"/>
      <c r="O314" s="21" t="n"/>
    </row>
    <row r="315">
      <c r="A315" s="24" t="n"/>
      <c r="B315" s="21" t="n"/>
      <c r="C315" s="21" t="n"/>
      <c r="D315" s="21" t="n"/>
      <c r="E315" s="21" t="n"/>
      <c r="F315" s="28" t="n"/>
      <c r="G315" s="28" t="n"/>
      <c r="H315" s="26" t="n"/>
      <c r="I315" s="10">
        <f>IF(H315&lt;&gt;"",H315,IF(AND(F315&lt;&gt;"",G315&lt;&gt;""),ROUND((G315-F315)*1440,0),""))</f>
        <v/>
      </c>
      <c r="J315" s="26" t="n"/>
      <c r="K315" s="9">
        <f>IF(D315="","",IFERROR(VLOOKUP(D315,参数!$A$5:$C$24,2,0),""))</f>
        <v/>
      </c>
      <c r="L315" s="9">
        <f>IF(D315="","",IFERROR(VLOOKUP(D315,参数!$A$5:$C$24,3,0),""))</f>
        <v/>
      </c>
      <c r="M315" s="21" t="n"/>
      <c r="N315" s="21" t="n"/>
      <c r="O315" s="21" t="n"/>
    </row>
    <row r="316">
      <c r="A316" s="24" t="n"/>
      <c r="B316" s="21" t="n"/>
      <c r="C316" s="21" t="n"/>
      <c r="D316" s="21" t="n"/>
      <c r="E316" s="21" t="n"/>
      <c r="F316" s="28" t="n"/>
      <c r="G316" s="28" t="n"/>
      <c r="H316" s="26" t="n"/>
      <c r="I316" s="10">
        <f>IF(H316&lt;&gt;"",H316,IF(AND(F316&lt;&gt;"",G316&lt;&gt;""),ROUND((G316-F316)*1440,0),""))</f>
        <v/>
      </c>
      <c r="J316" s="26" t="n"/>
      <c r="K316" s="9">
        <f>IF(D316="","",IFERROR(VLOOKUP(D316,参数!$A$5:$C$24,2,0),""))</f>
        <v/>
      </c>
      <c r="L316" s="9">
        <f>IF(D316="","",IFERROR(VLOOKUP(D316,参数!$A$5:$C$24,3,0),""))</f>
        <v/>
      </c>
      <c r="M316" s="21" t="n"/>
      <c r="N316" s="21" t="n"/>
      <c r="O316" s="21" t="n"/>
    </row>
    <row r="317">
      <c r="A317" s="24" t="n"/>
      <c r="B317" s="21" t="n"/>
      <c r="C317" s="21" t="n"/>
      <c r="D317" s="21" t="n"/>
      <c r="E317" s="21" t="n"/>
      <c r="F317" s="28" t="n"/>
      <c r="G317" s="28" t="n"/>
      <c r="H317" s="26" t="n"/>
      <c r="I317" s="10">
        <f>IF(H317&lt;&gt;"",H317,IF(AND(F317&lt;&gt;"",G317&lt;&gt;""),ROUND((G317-F317)*1440,0),""))</f>
        <v/>
      </c>
      <c r="J317" s="26" t="n"/>
      <c r="K317" s="9">
        <f>IF(D317="","",IFERROR(VLOOKUP(D317,参数!$A$5:$C$24,2,0),""))</f>
        <v/>
      </c>
      <c r="L317" s="9">
        <f>IF(D317="","",IFERROR(VLOOKUP(D317,参数!$A$5:$C$24,3,0),""))</f>
        <v/>
      </c>
      <c r="M317" s="21" t="n"/>
      <c r="N317" s="21" t="n"/>
      <c r="O317" s="21" t="n"/>
    </row>
    <row r="318">
      <c r="A318" s="24" t="n"/>
      <c r="B318" s="21" t="n"/>
      <c r="C318" s="21" t="n"/>
      <c r="D318" s="21" t="n"/>
      <c r="E318" s="21" t="n"/>
      <c r="F318" s="28" t="n"/>
      <c r="G318" s="28" t="n"/>
      <c r="H318" s="26" t="n"/>
      <c r="I318" s="10">
        <f>IF(H318&lt;&gt;"",H318,IF(AND(F318&lt;&gt;"",G318&lt;&gt;""),ROUND((G318-F318)*1440,0),""))</f>
        <v/>
      </c>
      <c r="J318" s="26" t="n"/>
      <c r="K318" s="9">
        <f>IF(D318="","",IFERROR(VLOOKUP(D318,参数!$A$5:$C$24,2,0),""))</f>
        <v/>
      </c>
      <c r="L318" s="9">
        <f>IF(D318="","",IFERROR(VLOOKUP(D318,参数!$A$5:$C$24,3,0),""))</f>
        <v/>
      </c>
      <c r="M318" s="21" t="n"/>
      <c r="N318" s="21" t="n"/>
      <c r="O318" s="21" t="n"/>
    </row>
    <row r="319">
      <c r="A319" s="24" t="n"/>
      <c r="B319" s="21" t="n"/>
      <c r="C319" s="21" t="n"/>
      <c r="D319" s="21" t="n"/>
      <c r="E319" s="21" t="n"/>
      <c r="F319" s="28" t="n"/>
      <c r="G319" s="28" t="n"/>
      <c r="H319" s="26" t="n"/>
      <c r="I319" s="10">
        <f>IF(H319&lt;&gt;"",H319,IF(AND(F319&lt;&gt;"",G319&lt;&gt;""),ROUND((G319-F319)*1440,0),""))</f>
        <v/>
      </c>
      <c r="J319" s="26" t="n"/>
      <c r="K319" s="9">
        <f>IF(D319="","",IFERROR(VLOOKUP(D319,参数!$A$5:$C$24,2,0),""))</f>
        <v/>
      </c>
      <c r="L319" s="9">
        <f>IF(D319="","",IFERROR(VLOOKUP(D319,参数!$A$5:$C$24,3,0),""))</f>
        <v/>
      </c>
      <c r="M319" s="21" t="n"/>
      <c r="N319" s="21" t="n"/>
      <c r="O319" s="21" t="n"/>
    </row>
    <row r="320">
      <c r="A320" s="24" t="n"/>
      <c r="B320" s="21" t="n"/>
      <c r="C320" s="21" t="n"/>
      <c r="D320" s="21" t="n"/>
      <c r="E320" s="21" t="n"/>
      <c r="F320" s="28" t="n"/>
      <c r="G320" s="28" t="n"/>
      <c r="H320" s="26" t="n"/>
      <c r="I320" s="10">
        <f>IF(H320&lt;&gt;"",H320,IF(AND(F320&lt;&gt;"",G320&lt;&gt;""),ROUND((G320-F320)*1440,0),""))</f>
        <v/>
      </c>
      <c r="J320" s="26" t="n"/>
      <c r="K320" s="9">
        <f>IF(D320="","",IFERROR(VLOOKUP(D320,参数!$A$5:$C$24,2,0),""))</f>
        <v/>
      </c>
      <c r="L320" s="9">
        <f>IF(D320="","",IFERROR(VLOOKUP(D320,参数!$A$5:$C$24,3,0),""))</f>
        <v/>
      </c>
      <c r="M320" s="21" t="n"/>
      <c r="N320" s="21" t="n"/>
      <c r="O320" s="21" t="n"/>
    </row>
    <row r="321">
      <c r="A321" s="24" t="n"/>
      <c r="B321" s="21" t="n"/>
      <c r="C321" s="21" t="n"/>
      <c r="D321" s="21" t="n"/>
      <c r="E321" s="21" t="n"/>
      <c r="F321" s="28" t="n"/>
      <c r="G321" s="28" t="n"/>
      <c r="H321" s="26" t="n"/>
      <c r="I321" s="10">
        <f>IF(H321&lt;&gt;"",H321,IF(AND(F321&lt;&gt;"",G321&lt;&gt;""),ROUND((G321-F321)*1440,0),""))</f>
        <v/>
      </c>
      <c r="J321" s="26" t="n"/>
      <c r="K321" s="9">
        <f>IF(D321="","",IFERROR(VLOOKUP(D321,参数!$A$5:$C$24,2,0),""))</f>
        <v/>
      </c>
      <c r="L321" s="9">
        <f>IF(D321="","",IFERROR(VLOOKUP(D321,参数!$A$5:$C$24,3,0),""))</f>
        <v/>
      </c>
      <c r="M321" s="21" t="n"/>
      <c r="N321" s="21" t="n"/>
      <c r="O321" s="21" t="n"/>
    </row>
    <row r="322">
      <c r="A322" s="24" t="n"/>
      <c r="B322" s="21" t="n"/>
      <c r="C322" s="21" t="n"/>
      <c r="D322" s="21" t="n"/>
      <c r="E322" s="21" t="n"/>
      <c r="F322" s="28" t="n"/>
      <c r="G322" s="28" t="n"/>
      <c r="H322" s="26" t="n"/>
      <c r="I322" s="10">
        <f>IF(H322&lt;&gt;"",H322,IF(AND(F322&lt;&gt;"",G322&lt;&gt;""),ROUND((G322-F322)*1440,0),""))</f>
        <v/>
      </c>
      <c r="J322" s="26" t="n"/>
      <c r="K322" s="9">
        <f>IF(D322="","",IFERROR(VLOOKUP(D322,参数!$A$5:$C$24,2,0),""))</f>
        <v/>
      </c>
      <c r="L322" s="9">
        <f>IF(D322="","",IFERROR(VLOOKUP(D322,参数!$A$5:$C$24,3,0),""))</f>
        <v/>
      </c>
      <c r="M322" s="21" t="n"/>
      <c r="N322" s="21" t="n"/>
      <c r="O322" s="21" t="n"/>
    </row>
    <row r="323">
      <c r="A323" s="24" t="n"/>
      <c r="B323" s="21" t="n"/>
      <c r="C323" s="21" t="n"/>
      <c r="D323" s="21" t="n"/>
      <c r="E323" s="21" t="n"/>
      <c r="F323" s="28" t="n"/>
      <c r="G323" s="28" t="n"/>
      <c r="H323" s="26" t="n"/>
      <c r="I323" s="10">
        <f>IF(H323&lt;&gt;"",H323,IF(AND(F323&lt;&gt;"",G323&lt;&gt;""),ROUND((G323-F323)*1440,0),""))</f>
        <v/>
      </c>
      <c r="J323" s="26" t="n"/>
      <c r="K323" s="9">
        <f>IF(D323="","",IFERROR(VLOOKUP(D323,参数!$A$5:$C$24,2,0),""))</f>
        <v/>
      </c>
      <c r="L323" s="9">
        <f>IF(D323="","",IFERROR(VLOOKUP(D323,参数!$A$5:$C$24,3,0),""))</f>
        <v/>
      </c>
      <c r="M323" s="21" t="n"/>
      <c r="N323" s="21" t="n"/>
      <c r="O323" s="21" t="n"/>
    </row>
    <row r="324">
      <c r="A324" s="24" t="n"/>
      <c r="B324" s="21" t="n"/>
      <c r="C324" s="21" t="n"/>
      <c r="D324" s="21" t="n"/>
      <c r="E324" s="21" t="n"/>
      <c r="F324" s="28" t="n"/>
      <c r="G324" s="28" t="n"/>
      <c r="H324" s="26" t="n"/>
      <c r="I324" s="10">
        <f>IF(H324&lt;&gt;"",H324,IF(AND(F324&lt;&gt;"",G324&lt;&gt;""),ROUND((G324-F324)*1440,0),""))</f>
        <v/>
      </c>
      <c r="J324" s="26" t="n"/>
      <c r="K324" s="9">
        <f>IF(D324="","",IFERROR(VLOOKUP(D324,参数!$A$5:$C$24,2,0),""))</f>
        <v/>
      </c>
      <c r="L324" s="9">
        <f>IF(D324="","",IFERROR(VLOOKUP(D324,参数!$A$5:$C$24,3,0),""))</f>
        <v/>
      </c>
      <c r="M324" s="21" t="n"/>
      <c r="N324" s="21" t="n"/>
      <c r="O324" s="21" t="n"/>
    </row>
    <row r="325">
      <c r="A325" s="24" t="n"/>
      <c r="B325" s="21" t="n"/>
      <c r="C325" s="21" t="n"/>
      <c r="D325" s="21" t="n"/>
      <c r="E325" s="21" t="n"/>
      <c r="F325" s="28" t="n"/>
      <c r="G325" s="28" t="n"/>
      <c r="H325" s="26" t="n"/>
      <c r="I325" s="10">
        <f>IF(H325&lt;&gt;"",H325,IF(AND(F325&lt;&gt;"",G325&lt;&gt;""),ROUND((G325-F325)*1440,0),""))</f>
        <v/>
      </c>
      <c r="J325" s="26" t="n"/>
      <c r="K325" s="9">
        <f>IF(D325="","",IFERROR(VLOOKUP(D325,参数!$A$5:$C$24,2,0),""))</f>
        <v/>
      </c>
      <c r="L325" s="9">
        <f>IF(D325="","",IFERROR(VLOOKUP(D325,参数!$A$5:$C$24,3,0),""))</f>
        <v/>
      </c>
      <c r="M325" s="21" t="n"/>
      <c r="N325" s="21" t="n"/>
      <c r="O325" s="21" t="n"/>
    </row>
    <row r="326">
      <c r="A326" s="24" t="n"/>
      <c r="B326" s="21" t="n"/>
      <c r="C326" s="21" t="n"/>
      <c r="D326" s="21" t="n"/>
      <c r="E326" s="21" t="n"/>
      <c r="F326" s="28" t="n"/>
      <c r="G326" s="28" t="n"/>
      <c r="H326" s="26" t="n"/>
      <c r="I326" s="10">
        <f>IF(H326&lt;&gt;"",H326,IF(AND(F326&lt;&gt;"",G326&lt;&gt;""),ROUND((G326-F326)*1440,0),""))</f>
        <v/>
      </c>
      <c r="J326" s="26" t="n"/>
      <c r="K326" s="9">
        <f>IF(D326="","",IFERROR(VLOOKUP(D326,参数!$A$5:$C$24,2,0),""))</f>
        <v/>
      </c>
      <c r="L326" s="9">
        <f>IF(D326="","",IFERROR(VLOOKUP(D326,参数!$A$5:$C$24,3,0),""))</f>
        <v/>
      </c>
      <c r="M326" s="21" t="n"/>
      <c r="N326" s="21" t="n"/>
      <c r="O326" s="21" t="n"/>
    </row>
    <row r="327">
      <c r="A327" s="24" t="n"/>
      <c r="B327" s="21" t="n"/>
      <c r="C327" s="21" t="n"/>
      <c r="D327" s="21" t="n"/>
      <c r="E327" s="21" t="n"/>
      <c r="F327" s="28" t="n"/>
      <c r="G327" s="28" t="n"/>
      <c r="H327" s="26" t="n"/>
      <c r="I327" s="10">
        <f>IF(H327&lt;&gt;"",H327,IF(AND(F327&lt;&gt;"",G327&lt;&gt;""),ROUND((G327-F327)*1440,0),""))</f>
        <v/>
      </c>
      <c r="J327" s="26" t="n"/>
      <c r="K327" s="9">
        <f>IF(D327="","",IFERROR(VLOOKUP(D327,参数!$A$5:$C$24,2,0),""))</f>
        <v/>
      </c>
      <c r="L327" s="9">
        <f>IF(D327="","",IFERROR(VLOOKUP(D327,参数!$A$5:$C$24,3,0),""))</f>
        <v/>
      </c>
      <c r="M327" s="21" t="n"/>
      <c r="N327" s="21" t="n"/>
      <c r="O327" s="21" t="n"/>
    </row>
    <row r="328">
      <c r="A328" s="24" t="n"/>
      <c r="B328" s="21" t="n"/>
      <c r="C328" s="21" t="n"/>
      <c r="D328" s="21" t="n"/>
      <c r="E328" s="21" t="n"/>
      <c r="F328" s="28" t="n"/>
      <c r="G328" s="28" t="n"/>
      <c r="H328" s="26" t="n"/>
      <c r="I328" s="10">
        <f>IF(H328&lt;&gt;"",H328,IF(AND(F328&lt;&gt;"",G328&lt;&gt;""),ROUND((G328-F328)*1440,0),""))</f>
        <v/>
      </c>
      <c r="J328" s="26" t="n"/>
      <c r="K328" s="9">
        <f>IF(D328="","",IFERROR(VLOOKUP(D328,参数!$A$5:$C$24,2,0),""))</f>
        <v/>
      </c>
      <c r="L328" s="9">
        <f>IF(D328="","",IFERROR(VLOOKUP(D328,参数!$A$5:$C$24,3,0),""))</f>
        <v/>
      </c>
      <c r="M328" s="21" t="n"/>
      <c r="N328" s="21" t="n"/>
      <c r="O328" s="21" t="n"/>
    </row>
    <row r="329">
      <c r="A329" s="24" t="n"/>
      <c r="B329" s="21" t="n"/>
      <c r="C329" s="21" t="n"/>
      <c r="D329" s="21" t="n"/>
      <c r="E329" s="21" t="n"/>
      <c r="F329" s="28" t="n"/>
      <c r="G329" s="28" t="n"/>
      <c r="H329" s="26" t="n"/>
      <c r="I329" s="10">
        <f>IF(H329&lt;&gt;"",H329,IF(AND(F329&lt;&gt;"",G329&lt;&gt;""),ROUND((G329-F329)*1440,0),""))</f>
        <v/>
      </c>
      <c r="J329" s="26" t="n"/>
      <c r="K329" s="9">
        <f>IF(D329="","",IFERROR(VLOOKUP(D329,参数!$A$5:$C$24,2,0),""))</f>
        <v/>
      </c>
      <c r="L329" s="9">
        <f>IF(D329="","",IFERROR(VLOOKUP(D329,参数!$A$5:$C$24,3,0),""))</f>
        <v/>
      </c>
      <c r="M329" s="21" t="n"/>
      <c r="N329" s="21" t="n"/>
      <c r="O329" s="21" t="n"/>
    </row>
    <row r="330">
      <c r="A330" s="24" t="n"/>
      <c r="B330" s="21" t="n"/>
      <c r="C330" s="21" t="n"/>
      <c r="D330" s="21" t="n"/>
      <c r="E330" s="21" t="n"/>
      <c r="F330" s="28" t="n"/>
      <c r="G330" s="28" t="n"/>
      <c r="H330" s="26" t="n"/>
      <c r="I330" s="10">
        <f>IF(H330&lt;&gt;"",H330,IF(AND(F330&lt;&gt;"",G330&lt;&gt;""),ROUND((G330-F330)*1440,0),""))</f>
        <v/>
      </c>
      <c r="J330" s="26" t="n"/>
      <c r="K330" s="9">
        <f>IF(D330="","",IFERROR(VLOOKUP(D330,参数!$A$5:$C$24,2,0),""))</f>
        <v/>
      </c>
      <c r="L330" s="9">
        <f>IF(D330="","",IFERROR(VLOOKUP(D330,参数!$A$5:$C$24,3,0),""))</f>
        <v/>
      </c>
      <c r="M330" s="21" t="n"/>
      <c r="N330" s="21" t="n"/>
      <c r="O330" s="21" t="n"/>
    </row>
    <row r="331">
      <c r="A331" s="24" t="n"/>
      <c r="B331" s="21" t="n"/>
      <c r="C331" s="21" t="n"/>
      <c r="D331" s="21" t="n"/>
      <c r="E331" s="21" t="n"/>
      <c r="F331" s="28" t="n"/>
      <c r="G331" s="28" t="n"/>
      <c r="H331" s="26" t="n"/>
      <c r="I331" s="10">
        <f>IF(H331&lt;&gt;"",H331,IF(AND(F331&lt;&gt;"",G331&lt;&gt;""),ROUND((G331-F331)*1440,0),""))</f>
        <v/>
      </c>
      <c r="J331" s="26" t="n"/>
      <c r="K331" s="9">
        <f>IF(D331="","",IFERROR(VLOOKUP(D331,参数!$A$5:$C$24,2,0),""))</f>
        <v/>
      </c>
      <c r="L331" s="9">
        <f>IF(D331="","",IFERROR(VLOOKUP(D331,参数!$A$5:$C$24,3,0),""))</f>
        <v/>
      </c>
      <c r="M331" s="21" t="n"/>
      <c r="N331" s="21" t="n"/>
      <c r="O331" s="21" t="n"/>
    </row>
    <row r="332">
      <c r="A332" s="24" t="n"/>
      <c r="B332" s="21" t="n"/>
      <c r="C332" s="21" t="n"/>
      <c r="D332" s="21" t="n"/>
      <c r="E332" s="21" t="n"/>
      <c r="F332" s="28" t="n"/>
      <c r="G332" s="28" t="n"/>
      <c r="H332" s="26" t="n"/>
      <c r="I332" s="10">
        <f>IF(H332&lt;&gt;"",H332,IF(AND(F332&lt;&gt;"",G332&lt;&gt;""),ROUND((G332-F332)*1440,0),""))</f>
        <v/>
      </c>
      <c r="J332" s="26" t="n"/>
      <c r="K332" s="9">
        <f>IF(D332="","",IFERROR(VLOOKUP(D332,参数!$A$5:$C$24,2,0),""))</f>
        <v/>
      </c>
      <c r="L332" s="9">
        <f>IF(D332="","",IFERROR(VLOOKUP(D332,参数!$A$5:$C$24,3,0),""))</f>
        <v/>
      </c>
      <c r="M332" s="21" t="n"/>
      <c r="N332" s="21" t="n"/>
      <c r="O332" s="21" t="n"/>
    </row>
    <row r="333">
      <c r="A333" s="24" t="n"/>
      <c r="B333" s="21" t="n"/>
      <c r="C333" s="21" t="n"/>
      <c r="D333" s="21" t="n"/>
      <c r="E333" s="21" t="n"/>
      <c r="F333" s="28" t="n"/>
      <c r="G333" s="28" t="n"/>
      <c r="H333" s="26" t="n"/>
      <c r="I333" s="10">
        <f>IF(H333&lt;&gt;"",H333,IF(AND(F333&lt;&gt;"",G333&lt;&gt;""),ROUND((G333-F333)*1440,0),""))</f>
        <v/>
      </c>
      <c r="J333" s="26" t="n"/>
      <c r="K333" s="9">
        <f>IF(D333="","",IFERROR(VLOOKUP(D333,参数!$A$5:$C$24,2,0),""))</f>
        <v/>
      </c>
      <c r="L333" s="9">
        <f>IF(D333="","",IFERROR(VLOOKUP(D333,参数!$A$5:$C$24,3,0),""))</f>
        <v/>
      </c>
      <c r="M333" s="21" t="n"/>
      <c r="N333" s="21" t="n"/>
      <c r="O333" s="21" t="n"/>
    </row>
    <row r="334">
      <c r="A334" s="24" t="n"/>
      <c r="B334" s="21" t="n"/>
      <c r="C334" s="21" t="n"/>
      <c r="D334" s="21" t="n"/>
      <c r="E334" s="21" t="n"/>
      <c r="F334" s="28" t="n"/>
      <c r="G334" s="28" t="n"/>
      <c r="H334" s="26" t="n"/>
      <c r="I334" s="10">
        <f>IF(H334&lt;&gt;"",H334,IF(AND(F334&lt;&gt;"",G334&lt;&gt;""),ROUND((G334-F334)*1440,0),""))</f>
        <v/>
      </c>
      <c r="J334" s="26" t="n"/>
      <c r="K334" s="9">
        <f>IF(D334="","",IFERROR(VLOOKUP(D334,参数!$A$5:$C$24,2,0),""))</f>
        <v/>
      </c>
      <c r="L334" s="9">
        <f>IF(D334="","",IFERROR(VLOOKUP(D334,参数!$A$5:$C$24,3,0),""))</f>
        <v/>
      </c>
      <c r="M334" s="21" t="n"/>
      <c r="N334" s="21" t="n"/>
      <c r="O334" s="21" t="n"/>
    </row>
    <row r="335">
      <c r="A335" s="24" t="n"/>
      <c r="B335" s="21" t="n"/>
      <c r="C335" s="21" t="n"/>
      <c r="D335" s="21" t="n"/>
      <c r="E335" s="21" t="n"/>
      <c r="F335" s="28" t="n"/>
      <c r="G335" s="28" t="n"/>
      <c r="H335" s="26" t="n"/>
      <c r="I335" s="10">
        <f>IF(H335&lt;&gt;"",H335,IF(AND(F335&lt;&gt;"",G335&lt;&gt;""),ROUND((G335-F335)*1440,0),""))</f>
        <v/>
      </c>
      <c r="J335" s="26" t="n"/>
      <c r="K335" s="9">
        <f>IF(D335="","",IFERROR(VLOOKUP(D335,参数!$A$5:$C$24,2,0),""))</f>
        <v/>
      </c>
      <c r="L335" s="9">
        <f>IF(D335="","",IFERROR(VLOOKUP(D335,参数!$A$5:$C$24,3,0),""))</f>
        <v/>
      </c>
      <c r="M335" s="21" t="n"/>
      <c r="N335" s="21" t="n"/>
      <c r="O335" s="21" t="n"/>
    </row>
    <row r="336">
      <c r="A336" s="24" t="n"/>
      <c r="B336" s="21" t="n"/>
      <c r="C336" s="21" t="n"/>
      <c r="D336" s="21" t="n"/>
      <c r="E336" s="21" t="n"/>
      <c r="F336" s="28" t="n"/>
      <c r="G336" s="28" t="n"/>
      <c r="H336" s="26" t="n"/>
      <c r="I336" s="10">
        <f>IF(H336&lt;&gt;"",H336,IF(AND(F336&lt;&gt;"",G336&lt;&gt;""),ROUND((G336-F336)*1440,0),""))</f>
        <v/>
      </c>
      <c r="J336" s="26" t="n"/>
      <c r="K336" s="9">
        <f>IF(D336="","",IFERROR(VLOOKUP(D336,参数!$A$5:$C$24,2,0),""))</f>
        <v/>
      </c>
      <c r="L336" s="9">
        <f>IF(D336="","",IFERROR(VLOOKUP(D336,参数!$A$5:$C$24,3,0),""))</f>
        <v/>
      </c>
      <c r="M336" s="21" t="n"/>
      <c r="N336" s="21" t="n"/>
      <c r="O336" s="21" t="n"/>
    </row>
    <row r="337">
      <c r="A337" s="24" t="n"/>
      <c r="B337" s="21" t="n"/>
      <c r="C337" s="21" t="n"/>
      <c r="D337" s="21" t="n"/>
      <c r="E337" s="21" t="n"/>
      <c r="F337" s="28" t="n"/>
      <c r="G337" s="28" t="n"/>
      <c r="H337" s="26" t="n"/>
      <c r="I337" s="10">
        <f>IF(H337&lt;&gt;"",H337,IF(AND(F337&lt;&gt;"",G337&lt;&gt;""),ROUND((G337-F337)*1440,0),""))</f>
        <v/>
      </c>
      <c r="J337" s="26" t="n"/>
      <c r="K337" s="9">
        <f>IF(D337="","",IFERROR(VLOOKUP(D337,参数!$A$5:$C$24,2,0),""))</f>
        <v/>
      </c>
      <c r="L337" s="9">
        <f>IF(D337="","",IFERROR(VLOOKUP(D337,参数!$A$5:$C$24,3,0),""))</f>
        <v/>
      </c>
      <c r="M337" s="21" t="n"/>
      <c r="N337" s="21" t="n"/>
      <c r="O337" s="21" t="n"/>
    </row>
    <row r="338">
      <c r="A338" s="24" t="n"/>
      <c r="B338" s="21" t="n"/>
      <c r="C338" s="21" t="n"/>
      <c r="D338" s="21" t="n"/>
      <c r="E338" s="21" t="n"/>
      <c r="F338" s="28" t="n"/>
      <c r="G338" s="28" t="n"/>
      <c r="H338" s="26" t="n"/>
      <c r="I338" s="10">
        <f>IF(H338&lt;&gt;"",H338,IF(AND(F338&lt;&gt;"",G338&lt;&gt;""),ROUND((G338-F338)*1440,0),""))</f>
        <v/>
      </c>
      <c r="J338" s="26" t="n"/>
      <c r="K338" s="9">
        <f>IF(D338="","",IFERROR(VLOOKUP(D338,参数!$A$5:$C$24,2,0),""))</f>
        <v/>
      </c>
      <c r="L338" s="9">
        <f>IF(D338="","",IFERROR(VLOOKUP(D338,参数!$A$5:$C$24,3,0),""))</f>
        <v/>
      </c>
      <c r="M338" s="21" t="n"/>
      <c r="N338" s="21" t="n"/>
      <c r="O338" s="21" t="n"/>
    </row>
    <row r="339">
      <c r="A339" s="24" t="n"/>
      <c r="B339" s="21" t="n"/>
      <c r="C339" s="21" t="n"/>
      <c r="D339" s="21" t="n"/>
      <c r="E339" s="21" t="n"/>
      <c r="F339" s="28" t="n"/>
      <c r="G339" s="28" t="n"/>
      <c r="H339" s="26" t="n"/>
      <c r="I339" s="10">
        <f>IF(H339&lt;&gt;"",H339,IF(AND(F339&lt;&gt;"",G339&lt;&gt;""),ROUND((G339-F339)*1440,0),""))</f>
        <v/>
      </c>
      <c r="J339" s="26" t="n"/>
      <c r="K339" s="9">
        <f>IF(D339="","",IFERROR(VLOOKUP(D339,参数!$A$5:$C$24,2,0),""))</f>
        <v/>
      </c>
      <c r="L339" s="9">
        <f>IF(D339="","",IFERROR(VLOOKUP(D339,参数!$A$5:$C$24,3,0),""))</f>
        <v/>
      </c>
      <c r="M339" s="21" t="n"/>
      <c r="N339" s="21" t="n"/>
      <c r="O339" s="21" t="n"/>
    </row>
    <row r="340">
      <c r="A340" s="24" t="n"/>
      <c r="B340" s="21" t="n"/>
      <c r="C340" s="21" t="n"/>
      <c r="D340" s="21" t="n"/>
      <c r="E340" s="21" t="n"/>
      <c r="F340" s="28" t="n"/>
      <c r="G340" s="28" t="n"/>
      <c r="H340" s="26" t="n"/>
      <c r="I340" s="10">
        <f>IF(H340&lt;&gt;"",H340,IF(AND(F340&lt;&gt;"",G340&lt;&gt;""),ROUND((G340-F340)*1440,0),""))</f>
        <v/>
      </c>
      <c r="J340" s="26" t="n"/>
      <c r="K340" s="9">
        <f>IF(D340="","",IFERROR(VLOOKUP(D340,参数!$A$5:$C$24,2,0),""))</f>
        <v/>
      </c>
      <c r="L340" s="9">
        <f>IF(D340="","",IFERROR(VLOOKUP(D340,参数!$A$5:$C$24,3,0),""))</f>
        <v/>
      </c>
      <c r="M340" s="21" t="n"/>
      <c r="N340" s="21" t="n"/>
      <c r="O340" s="21" t="n"/>
    </row>
    <row r="341">
      <c r="A341" s="24" t="n"/>
      <c r="B341" s="21" t="n"/>
      <c r="C341" s="21" t="n"/>
      <c r="D341" s="21" t="n"/>
      <c r="E341" s="21" t="n"/>
      <c r="F341" s="28" t="n"/>
      <c r="G341" s="28" t="n"/>
      <c r="H341" s="26" t="n"/>
      <c r="I341" s="10">
        <f>IF(H341&lt;&gt;"",H341,IF(AND(F341&lt;&gt;"",G341&lt;&gt;""),ROUND((G341-F341)*1440,0),""))</f>
        <v/>
      </c>
      <c r="J341" s="26" t="n"/>
      <c r="K341" s="9">
        <f>IF(D341="","",IFERROR(VLOOKUP(D341,参数!$A$5:$C$24,2,0),""))</f>
        <v/>
      </c>
      <c r="L341" s="9">
        <f>IF(D341="","",IFERROR(VLOOKUP(D341,参数!$A$5:$C$24,3,0),""))</f>
        <v/>
      </c>
      <c r="M341" s="21" t="n"/>
      <c r="N341" s="21" t="n"/>
      <c r="O341" s="21" t="n"/>
    </row>
    <row r="342">
      <c r="A342" s="24" t="n"/>
      <c r="B342" s="21" t="n"/>
      <c r="C342" s="21" t="n"/>
      <c r="D342" s="21" t="n"/>
      <c r="E342" s="21" t="n"/>
      <c r="F342" s="28" t="n"/>
      <c r="G342" s="28" t="n"/>
      <c r="H342" s="26" t="n"/>
      <c r="I342" s="10">
        <f>IF(H342&lt;&gt;"",H342,IF(AND(F342&lt;&gt;"",G342&lt;&gt;""),ROUND((G342-F342)*1440,0),""))</f>
        <v/>
      </c>
      <c r="J342" s="26" t="n"/>
      <c r="K342" s="9">
        <f>IF(D342="","",IFERROR(VLOOKUP(D342,参数!$A$5:$C$24,2,0),""))</f>
        <v/>
      </c>
      <c r="L342" s="9">
        <f>IF(D342="","",IFERROR(VLOOKUP(D342,参数!$A$5:$C$24,3,0),""))</f>
        <v/>
      </c>
      <c r="M342" s="21" t="n"/>
      <c r="N342" s="21" t="n"/>
      <c r="O342" s="21" t="n"/>
    </row>
    <row r="343">
      <c r="A343" s="24" t="n"/>
      <c r="B343" s="21" t="n"/>
      <c r="C343" s="21" t="n"/>
      <c r="D343" s="21" t="n"/>
      <c r="E343" s="21" t="n"/>
      <c r="F343" s="28" t="n"/>
      <c r="G343" s="28" t="n"/>
      <c r="H343" s="26" t="n"/>
      <c r="I343" s="10">
        <f>IF(H343&lt;&gt;"",H343,IF(AND(F343&lt;&gt;"",G343&lt;&gt;""),ROUND((G343-F343)*1440,0),""))</f>
        <v/>
      </c>
      <c r="J343" s="26" t="n"/>
      <c r="K343" s="9">
        <f>IF(D343="","",IFERROR(VLOOKUP(D343,参数!$A$5:$C$24,2,0),""))</f>
        <v/>
      </c>
      <c r="L343" s="9">
        <f>IF(D343="","",IFERROR(VLOOKUP(D343,参数!$A$5:$C$24,3,0),""))</f>
        <v/>
      </c>
      <c r="M343" s="21" t="n"/>
      <c r="N343" s="21" t="n"/>
      <c r="O343" s="21" t="n"/>
    </row>
    <row r="344">
      <c r="A344" s="24" t="n"/>
      <c r="B344" s="21" t="n"/>
      <c r="C344" s="21" t="n"/>
      <c r="D344" s="21" t="n"/>
      <c r="E344" s="21" t="n"/>
      <c r="F344" s="28" t="n"/>
      <c r="G344" s="28" t="n"/>
      <c r="H344" s="26" t="n"/>
      <c r="I344" s="10">
        <f>IF(H344&lt;&gt;"",H344,IF(AND(F344&lt;&gt;"",G344&lt;&gt;""),ROUND((G344-F344)*1440,0),""))</f>
        <v/>
      </c>
      <c r="J344" s="26" t="n"/>
      <c r="K344" s="9">
        <f>IF(D344="","",IFERROR(VLOOKUP(D344,参数!$A$5:$C$24,2,0),""))</f>
        <v/>
      </c>
      <c r="L344" s="9">
        <f>IF(D344="","",IFERROR(VLOOKUP(D344,参数!$A$5:$C$24,3,0),""))</f>
        <v/>
      </c>
      <c r="M344" s="21" t="n"/>
      <c r="N344" s="21" t="n"/>
      <c r="O344" s="21" t="n"/>
    </row>
    <row r="345">
      <c r="A345" s="24" t="n"/>
      <c r="B345" s="21" t="n"/>
      <c r="C345" s="21" t="n"/>
      <c r="D345" s="21" t="n"/>
      <c r="E345" s="21" t="n"/>
      <c r="F345" s="28" t="n"/>
      <c r="G345" s="28" t="n"/>
      <c r="H345" s="26" t="n"/>
      <c r="I345" s="10">
        <f>IF(H345&lt;&gt;"",H345,IF(AND(F345&lt;&gt;"",G345&lt;&gt;""),ROUND((G345-F345)*1440,0),""))</f>
        <v/>
      </c>
      <c r="J345" s="26" t="n"/>
      <c r="K345" s="9">
        <f>IF(D345="","",IFERROR(VLOOKUP(D345,参数!$A$5:$C$24,2,0),""))</f>
        <v/>
      </c>
      <c r="L345" s="9">
        <f>IF(D345="","",IFERROR(VLOOKUP(D345,参数!$A$5:$C$24,3,0),""))</f>
        <v/>
      </c>
      <c r="M345" s="21" t="n"/>
      <c r="N345" s="21" t="n"/>
      <c r="O345" s="21" t="n"/>
    </row>
    <row r="346">
      <c r="A346" s="24" t="n"/>
      <c r="B346" s="21" t="n"/>
      <c r="C346" s="21" t="n"/>
      <c r="D346" s="21" t="n"/>
      <c r="E346" s="21" t="n"/>
      <c r="F346" s="28" t="n"/>
      <c r="G346" s="28" t="n"/>
      <c r="H346" s="26" t="n"/>
      <c r="I346" s="10">
        <f>IF(H346&lt;&gt;"",H346,IF(AND(F346&lt;&gt;"",G346&lt;&gt;""),ROUND((G346-F346)*1440,0),""))</f>
        <v/>
      </c>
      <c r="J346" s="26" t="n"/>
      <c r="K346" s="9">
        <f>IF(D346="","",IFERROR(VLOOKUP(D346,参数!$A$5:$C$24,2,0),""))</f>
        <v/>
      </c>
      <c r="L346" s="9">
        <f>IF(D346="","",IFERROR(VLOOKUP(D346,参数!$A$5:$C$24,3,0),""))</f>
        <v/>
      </c>
      <c r="M346" s="21" t="n"/>
      <c r="N346" s="21" t="n"/>
      <c r="O346" s="21" t="n"/>
    </row>
    <row r="347">
      <c r="A347" s="24" t="n"/>
      <c r="B347" s="21" t="n"/>
      <c r="C347" s="21" t="n"/>
      <c r="D347" s="21" t="n"/>
      <c r="E347" s="21" t="n"/>
      <c r="F347" s="28" t="n"/>
      <c r="G347" s="28" t="n"/>
      <c r="H347" s="26" t="n"/>
      <c r="I347" s="10">
        <f>IF(H347&lt;&gt;"",H347,IF(AND(F347&lt;&gt;"",G347&lt;&gt;""),ROUND((G347-F347)*1440,0),""))</f>
        <v/>
      </c>
      <c r="J347" s="26" t="n"/>
      <c r="K347" s="9">
        <f>IF(D347="","",IFERROR(VLOOKUP(D347,参数!$A$5:$C$24,2,0),""))</f>
        <v/>
      </c>
      <c r="L347" s="9">
        <f>IF(D347="","",IFERROR(VLOOKUP(D347,参数!$A$5:$C$24,3,0),""))</f>
        <v/>
      </c>
      <c r="M347" s="21" t="n"/>
      <c r="N347" s="21" t="n"/>
      <c r="O347" s="21" t="n"/>
    </row>
    <row r="348">
      <c r="A348" s="24" t="n"/>
      <c r="B348" s="21" t="n"/>
      <c r="C348" s="21" t="n"/>
      <c r="D348" s="21" t="n"/>
      <c r="E348" s="21" t="n"/>
      <c r="F348" s="28" t="n"/>
      <c r="G348" s="28" t="n"/>
      <c r="H348" s="26" t="n"/>
      <c r="I348" s="10">
        <f>IF(H348&lt;&gt;"",H348,IF(AND(F348&lt;&gt;"",G348&lt;&gt;""),ROUND((G348-F348)*1440,0),""))</f>
        <v/>
      </c>
      <c r="J348" s="26" t="n"/>
      <c r="K348" s="9">
        <f>IF(D348="","",IFERROR(VLOOKUP(D348,参数!$A$5:$C$24,2,0),""))</f>
        <v/>
      </c>
      <c r="L348" s="9">
        <f>IF(D348="","",IFERROR(VLOOKUP(D348,参数!$A$5:$C$24,3,0),""))</f>
        <v/>
      </c>
      <c r="M348" s="21" t="n"/>
      <c r="N348" s="21" t="n"/>
      <c r="O348" s="21" t="n"/>
    </row>
    <row r="349">
      <c r="A349" s="24" t="n"/>
      <c r="B349" s="21" t="n"/>
      <c r="C349" s="21" t="n"/>
      <c r="D349" s="21" t="n"/>
      <c r="E349" s="21" t="n"/>
      <c r="F349" s="28" t="n"/>
      <c r="G349" s="28" t="n"/>
      <c r="H349" s="26" t="n"/>
      <c r="I349" s="10">
        <f>IF(H349&lt;&gt;"",H349,IF(AND(F349&lt;&gt;"",G349&lt;&gt;""),ROUND((G349-F349)*1440,0),""))</f>
        <v/>
      </c>
      <c r="J349" s="26" t="n"/>
      <c r="K349" s="9">
        <f>IF(D349="","",IFERROR(VLOOKUP(D349,参数!$A$5:$C$24,2,0),""))</f>
        <v/>
      </c>
      <c r="L349" s="9">
        <f>IF(D349="","",IFERROR(VLOOKUP(D349,参数!$A$5:$C$24,3,0),""))</f>
        <v/>
      </c>
      <c r="M349" s="21" t="n"/>
      <c r="N349" s="21" t="n"/>
      <c r="O349" s="21" t="n"/>
    </row>
    <row r="350">
      <c r="A350" s="24" t="n"/>
      <c r="B350" s="21" t="n"/>
      <c r="C350" s="21" t="n"/>
      <c r="D350" s="21" t="n"/>
      <c r="E350" s="21" t="n"/>
      <c r="F350" s="28" t="n"/>
      <c r="G350" s="28" t="n"/>
      <c r="H350" s="26" t="n"/>
      <c r="I350" s="10">
        <f>IF(H350&lt;&gt;"",H350,IF(AND(F350&lt;&gt;"",G350&lt;&gt;""),ROUND((G350-F350)*1440,0),""))</f>
        <v/>
      </c>
      <c r="J350" s="26" t="n"/>
      <c r="K350" s="9">
        <f>IF(D350="","",IFERROR(VLOOKUP(D350,参数!$A$5:$C$24,2,0),""))</f>
        <v/>
      </c>
      <c r="L350" s="9">
        <f>IF(D350="","",IFERROR(VLOOKUP(D350,参数!$A$5:$C$24,3,0),""))</f>
        <v/>
      </c>
      <c r="M350" s="21" t="n"/>
      <c r="N350" s="21" t="n"/>
      <c r="O350" s="21" t="n"/>
    </row>
    <row r="351">
      <c r="A351" s="24" t="n"/>
      <c r="B351" s="21" t="n"/>
      <c r="C351" s="21" t="n"/>
      <c r="D351" s="21" t="n"/>
      <c r="E351" s="21" t="n"/>
      <c r="F351" s="28" t="n"/>
      <c r="G351" s="28" t="n"/>
      <c r="H351" s="26" t="n"/>
      <c r="I351" s="10">
        <f>IF(H351&lt;&gt;"",H351,IF(AND(F351&lt;&gt;"",G351&lt;&gt;""),ROUND((G351-F351)*1440,0),""))</f>
        <v/>
      </c>
      <c r="J351" s="26" t="n"/>
      <c r="K351" s="9">
        <f>IF(D351="","",IFERROR(VLOOKUP(D351,参数!$A$5:$C$24,2,0),""))</f>
        <v/>
      </c>
      <c r="L351" s="9">
        <f>IF(D351="","",IFERROR(VLOOKUP(D351,参数!$A$5:$C$24,3,0),""))</f>
        <v/>
      </c>
      <c r="M351" s="21" t="n"/>
      <c r="N351" s="21" t="n"/>
      <c r="O351" s="21" t="n"/>
    </row>
    <row r="352">
      <c r="A352" s="24" t="n"/>
      <c r="B352" s="21" t="n"/>
      <c r="C352" s="21" t="n"/>
      <c r="D352" s="21" t="n"/>
      <c r="E352" s="21" t="n"/>
      <c r="F352" s="28" t="n"/>
      <c r="G352" s="28" t="n"/>
      <c r="H352" s="26" t="n"/>
      <c r="I352" s="10">
        <f>IF(H352&lt;&gt;"",H352,IF(AND(F352&lt;&gt;"",G352&lt;&gt;""),ROUND((G352-F352)*1440,0),""))</f>
        <v/>
      </c>
      <c r="J352" s="26" t="n"/>
      <c r="K352" s="9">
        <f>IF(D352="","",IFERROR(VLOOKUP(D352,参数!$A$5:$C$24,2,0),""))</f>
        <v/>
      </c>
      <c r="L352" s="9">
        <f>IF(D352="","",IFERROR(VLOOKUP(D352,参数!$A$5:$C$24,3,0),""))</f>
        <v/>
      </c>
      <c r="M352" s="21" t="n"/>
      <c r="N352" s="21" t="n"/>
      <c r="O352" s="21" t="n"/>
    </row>
    <row r="353">
      <c r="A353" s="24" t="n"/>
      <c r="B353" s="21" t="n"/>
      <c r="C353" s="21" t="n"/>
      <c r="D353" s="21" t="n"/>
      <c r="E353" s="21" t="n"/>
      <c r="F353" s="28" t="n"/>
      <c r="G353" s="28" t="n"/>
      <c r="H353" s="26" t="n"/>
      <c r="I353" s="10">
        <f>IF(H353&lt;&gt;"",H353,IF(AND(F353&lt;&gt;"",G353&lt;&gt;""),ROUND((G353-F353)*1440,0),""))</f>
        <v/>
      </c>
      <c r="J353" s="26" t="n"/>
      <c r="K353" s="9">
        <f>IF(D353="","",IFERROR(VLOOKUP(D353,参数!$A$5:$C$24,2,0),""))</f>
        <v/>
      </c>
      <c r="L353" s="9">
        <f>IF(D353="","",IFERROR(VLOOKUP(D353,参数!$A$5:$C$24,3,0),""))</f>
        <v/>
      </c>
      <c r="M353" s="21" t="n"/>
      <c r="N353" s="21" t="n"/>
      <c r="O353" s="21" t="n"/>
    </row>
    <row r="354">
      <c r="A354" s="24" t="n"/>
      <c r="B354" s="21" t="n"/>
      <c r="C354" s="21" t="n"/>
      <c r="D354" s="21" t="n"/>
      <c r="E354" s="21" t="n"/>
      <c r="F354" s="28" t="n"/>
      <c r="G354" s="28" t="n"/>
      <c r="H354" s="26" t="n"/>
      <c r="I354" s="10">
        <f>IF(H354&lt;&gt;"",H354,IF(AND(F354&lt;&gt;"",G354&lt;&gt;""),ROUND((G354-F354)*1440,0),""))</f>
        <v/>
      </c>
      <c r="J354" s="26" t="n"/>
      <c r="K354" s="9">
        <f>IF(D354="","",IFERROR(VLOOKUP(D354,参数!$A$5:$C$24,2,0),""))</f>
        <v/>
      </c>
      <c r="L354" s="9">
        <f>IF(D354="","",IFERROR(VLOOKUP(D354,参数!$A$5:$C$24,3,0),""))</f>
        <v/>
      </c>
      <c r="M354" s="21" t="n"/>
      <c r="N354" s="21" t="n"/>
      <c r="O354" s="21" t="n"/>
    </row>
    <row r="355">
      <c r="A355" s="24" t="n"/>
      <c r="B355" s="21" t="n"/>
      <c r="C355" s="21" t="n"/>
      <c r="D355" s="21" t="n"/>
      <c r="E355" s="21" t="n"/>
      <c r="F355" s="28" t="n"/>
      <c r="G355" s="28" t="n"/>
      <c r="H355" s="26" t="n"/>
      <c r="I355" s="10">
        <f>IF(H355&lt;&gt;"",H355,IF(AND(F355&lt;&gt;"",G355&lt;&gt;""),ROUND((G355-F355)*1440,0),""))</f>
        <v/>
      </c>
      <c r="J355" s="26" t="n"/>
      <c r="K355" s="9">
        <f>IF(D355="","",IFERROR(VLOOKUP(D355,参数!$A$5:$C$24,2,0),""))</f>
        <v/>
      </c>
      <c r="L355" s="9">
        <f>IF(D355="","",IFERROR(VLOOKUP(D355,参数!$A$5:$C$24,3,0),""))</f>
        <v/>
      </c>
      <c r="M355" s="21" t="n"/>
      <c r="N355" s="21" t="n"/>
      <c r="O355" s="21" t="n"/>
    </row>
    <row r="356">
      <c r="A356" s="24" t="n"/>
      <c r="B356" s="21" t="n"/>
      <c r="C356" s="21" t="n"/>
      <c r="D356" s="21" t="n"/>
      <c r="E356" s="21" t="n"/>
      <c r="F356" s="28" t="n"/>
      <c r="G356" s="28" t="n"/>
      <c r="H356" s="26" t="n"/>
      <c r="I356" s="10">
        <f>IF(H356&lt;&gt;"",H356,IF(AND(F356&lt;&gt;"",G356&lt;&gt;""),ROUND((G356-F356)*1440,0),""))</f>
        <v/>
      </c>
      <c r="J356" s="26" t="n"/>
      <c r="K356" s="9">
        <f>IF(D356="","",IFERROR(VLOOKUP(D356,参数!$A$5:$C$24,2,0),""))</f>
        <v/>
      </c>
      <c r="L356" s="9">
        <f>IF(D356="","",IFERROR(VLOOKUP(D356,参数!$A$5:$C$24,3,0),""))</f>
        <v/>
      </c>
      <c r="M356" s="21" t="n"/>
      <c r="N356" s="21" t="n"/>
      <c r="O356" s="21" t="n"/>
    </row>
    <row r="357">
      <c r="A357" s="24" t="n"/>
      <c r="B357" s="21" t="n"/>
      <c r="C357" s="21" t="n"/>
      <c r="D357" s="21" t="n"/>
      <c r="E357" s="21" t="n"/>
      <c r="F357" s="28" t="n"/>
      <c r="G357" s="28" t="n"/>
      <c r="H357" s="26" t="n"/>
      <c r="I357" s="10">
        <f>IF(H357&lt;&gt;"",H357,IF(AND(F357&lt;&gt;"",G357&lt;&gt;""),ROUND((G357-F357)*1440,0),""))</f>
        <v/>
      </c>
      <c r="J357" s="26" t="n"/>
      <c r="K357" s="9">
        <f>IF(D357="","",IFERROR(VLOOKUP(D357,参数!$A$5:$C$24,2,0),""))</f>
        <v/>
      </c>
      <c r="L357" s="9">
        <f>IF(D357="","",IFERROR(VLOOKUP(D357,参数!$A$5:$C$24,3,0),""))</f>
        <v/>
      </c>
      <c r="M357" s="21" t="n"/>
      <c r="N357" s="21" t="n"/>
      <c r="O357" s="21" t="n"/>
    </row>
    <row r="358">
      <c r="A358" s="24" t="n"/>
      <c r="B358" s="21" t="n"/>
      <c r="C358" s="21" t="n"/>
      <c r="D358" s="21" t="n"/>
      <c r="E358" s="21" t="n"/>
      <c r="F358" s="28" t="n"/>
      <c r="G358" s="28" t="n"/>
      <c r="H358" s="26" t="n"/>
      <c r="I358" s="10">
        <f>IF(H358&lt;&gt;"",H358,IF(AND(F358&lt;&gt;"",G358&lt;&gt;""),ROUND((G358-F358)*1440,0),""))</f>
        <v/>
      </c>
      <c r="J358" s="26" t="n"/>
      <c r="K358" s="9">
        <f>IF(D358="","",IFERROR(VLOOKUP(D358,参数!$A$5:$C$24,2,0),""))</f>
        <v/>
      </c>
      <c r="L358" s="9">
        <f>IF(D358="","",IFERROR(VLOOKUP(D358,参数!$A$5:$C$24,3,0),""))</f>
        <v/>
      </c>
      <c r="M358" s="21" t="n"/>
      <c r="N358" s="21" t="n"/>
      <c r="O358" s="21" t="n"/>
    </row>
    <row r="359">
      <c r="A359" s="24" t="n"/>
      <c r="B359" s="21" t="n"/>
      <c r="C359" s="21" t="n"/>
      <c r="D359" s="21" t="n"/>
      <c r="E359" s="21" t="n"/>
      <c r="F359" s="28" t="n"/>
      <c r="G359" s="28" t="n"/>
      <c r="H359" s="26" t="n"/>
      <c r="I359" s="10">
        <f>IF(H359&lt;&gt;"",H359,IF(AND(F359&lt;&gt;"",G359&lt;&gt;""),ROUND((G359-F359)*1440,0),""))</f>
        <v/>
      </c>
      <c r="J359" s="26" t="n"/>
      <c r="K359" s="9">
        <f>IF(D359="","",IFERROR(VLOOKUP(D359,参数!$A$5:$C$24,2,0),""))</f>
        <v/>
      </c>
      <c r="L359" s="9">
        <f>IF(D359="","",IFERROR(VLOOKUP(D359,参数!$A$5:$C$24,3,0),""))</f>
        <v/>
      </c>
      <c r="M359" s="21" t="n"/>
      <c r="N359" s="21" t="n"/>
      <c r="O359" s="21" t="n"/>
    </row>
    <row r="360">
      <c r="A360" s="24" t="n"/>
      <c r="B360" s="21" t="n"/>
      <c r="C360" s="21" t="n"/>
      <c r="D360" s="21" t="n"/>
      <c r="E360" s="21" t="n"/>
      <c r="F360" s="28" t="n"/>
      <c r="G360" s="28" t="n"/>
      <c r="H360" s="26" t="n"/>
      <c r="I360" s="10">
        <f>IF(H360&lt;&gt;"",H360,IF(AND(F360&lt;&gt;"",G360&lt;&gt;""),ROUND((G360-F360)*1440,0),""))</f>
        <v/>
      </c>
      <c r="J360" s="26" t="n"/>
      <c r="K360" s="9">
        <f>IF(D360="","",IFERROR(VLOOKUP(D360,参数!$A$5:$C$24,2,0),""))</f>
        <v/>
      </c>
      <c r="L360" s="9">
        <f>IF(D360="","",IFERROR(VLOOKUP(D360,参数!$A$5:$C$24,3,0),""))</f>
        <v/>
      </c>
      <c r="M360" s="21" t="n"/>
      <c r="N360" s="21" t="n"/>
      <c r="O360" s="21" t="n"/>
    </row>
    <row r="361">
      <c r="A361" s="24" t="n"/>
      <c r="B361" s="21" t="n"/>
      <c r="C361" s="21" t="n"/>
      <c r="D361" s="21" t="n"/>
      <c r="E361" s="21" t="n"/>
      <c r="F361" s="28" t="n"/>
      <c r="G361" s="28" t="n"/>
      <c r="H361" s="26" t="n"/>
      <c r="I361" s="10">
        <f>IF(H361&lt;&gt;"",H361,IF(AND(F361&lt;&gt;"",G361&lt;&gt;""),ROUND((G361-F361)*1440,0),""))</f>
        <v/>
      </c>
      <c r="J361" s="26" t="n"/>
      <c r="K361" s="9">
        <f>IF(D361="","",IFERROR(VLOOKUP(D361,参数!$A$5:$C$24,2,0),""))</f>
        <v/>
      </c>
      <c r="L361" s="9">
        <f>IF(D361="","",IFERROR(VLOOKUP(D361,参数!$A$5:$C$24,3,0),""))</f>
        <v/>
      </c>
      <c r="M361" s="21" t="n"/>
      <c r="N361" s="21" t="n"/>
      <c r="O361" s="21" t="n"/>
    </row>
    <row r="362">
      <c r="A362" s="24" t="n"/>
      <c r="B362" s="21" t="n"/>
      <c r="C362" s="21" t="n"/>
      <c r="D362" s="21" t="n"/>
      <c r="E362" s="21" t="n"/>
      <c r="F362" s="28" t="n"/>
      <c r="G362" s="28" t="n"/>
      <c r="H362" s="26" t="n"/>
      <c r="I362" s="10">
        <f>IF(H362&lt;&gt;"",H362,IF(AND(F362&lt;&gt;"",G362&lt;&gt;""),ROUND((G362-F362)*1440,0),""))</f>
        <v/>
      </c>
      <c r="J362" s="26" t="n"/>
      <c r="K362" s="9">
        <f>IF(D362="","",IFERROR(VLOOKUP(D362,参数!$A$5:$C$24,2,0),""))</f>
        <v/>
      </c>
      <c r="L362" s="9">
        <f>IF(D362="","",IFERROR(VLOOKUP(D362,参数!$A$5:$C$24,3,0),""))</f>
        <v/>
      </c>
      <c r="M362" s="21" t="n"/>
      <c r="N362" s="21" t="n"/>
      <c r="O362" s="21" t="n"/>
    </row>
    <row r="363">
      <c r="A363" s="24" t="n"/>
      <c r="B363" s="21" t="n"/>
      <c r="C363" s="21" t="n"/>
      <c r="D363" s="21" t="n"/>
      <c r="E363" s="21" t="n"/>
      <c r="F363" s="28" t="n"/>
      <c r="G363" s="28" t="n"/>
      <c r="H363" s="26" t="n"/>
      <c r="I363" s="10">
        <f>IF(H363&lt;&gt;"",H363,IF(AND(F363&lt;&gt;"",G363&lt;&gt;""),ROUND((G363-F363)*1440,0),""))</f>
        <v/>
      </c>
      <c r="J363" s="26" t="n"/>
      <c r="K363" s="9">
        <f>IF(D363="","",IFERROR(VLOOKUP(D363,参数!$A$5:$C$24,2,0),""))</f>
        <v/>
      </c>
      <c r="L363" s="9">
        <f>IF(D363="","",IFERROR(VLOOKUP(D363,参数!$A$5:$C$24,3,0),""))</f>
        <v/>
      </c>
      <c r="M363" s="21" t="n"/>
      <c r="N363" s="21" t="n"/>
      <c r="O363" s="21" t="n"/>
    </row>
    <row r="364">
      <c r="A364" s="24" t="n"/>
      <c r="B364" s="21" t="n"/>
      <c r="C364" s="21" t="n"/>
      <c r="D364" s="21" t="n"/>
      <c r="E364" s="21" t="n"/>
      <c r="F364" s="28" t="n"/>
      <c r="G364" s="28" t="n"/>
      <c r="H364" s="26" t="n"/>
      <c r="I364" s="10">
        <f>IF(H364&lt;&gt;"",H364,IF(AND(F364&lt;&gt;"",G364&lt;&gt;""),ROUND((G364-F364)*1440,0),""))</f>
        <v/>
      </c>
      <c r="J364" s="26" t="n"/>
      <c r="K364" s="9">
        <f>IF(D364="","",IFERROR(VLOOKUP(D364,参数!$A$5:$C$24,2,0),""))</f>
        <v/>
      </c>
      <c r="L364" s="9">
        <f>IF(D364="","",IFERROR(VLOOKUP(D364,参数!$A$5:$C$24,3,0),""))</f>
        <v/>
      </c>
      <c r="M364" s="21" t="n"/>
      <c r="N364" s="21" t="n"/>
      <c r="O364" s="21" t="n"/>
    </row>
    <row r="365">
      <c r="A365" s="24" t="n"/>
      <c r="B365" s="21" t="n"/>
      <c r="C365" s="21" t="n"/>
      <c r="D365" s="21" t="n"/>
      <c r="E365" s="21" t="n"/>
      <c r="F365" s="28" t="n"/>
      <c r="G365" s="28" t="n"/>
      <c r="H365" s="26" t="n"/>
      <c r="I365" s="10">
        <f>IF(H365&lt;&gt;"",H365,IF(AND(F365&lt;&gt;"",G365&lt;&gt;""),ROUND((G365-F365)*1440,0),""))</f>
        <v/>
      </c>
      <c r="J365" s="26" t="n"/>
      <c r="K365" s="9">
        <f>IF(D365="","",IFERROR(VLOOKUP(D365,参数!$A$5:$C$24,2,0),""))</f>
        <v/>
      </c>
      <c r="L365" s="9">
        <f>IF(D365="","",IFERROR(VLOOKUP(D365,参数!$A$5:$C$24,3,0),""))</f>
        <v/>
      </c>
      <c r="M365" s="21" t="n"/>
      <c r="N365" s="21" t="n"/>
      <c r="O365" s="21" t="n"/>
    </row>
    <row r="366">
      <c r="A366" s="24" t="n"/>
      <c r="B366" s="21" t="n"/>
      <c r="C366" s="21" t="n"/>
      <c r="D366" s="21" t="n"/>
      <c r="E366" s="21" t="n"/>
      <c r="F366" s="28" t="n"/>
      <c r="G366" s="28" t="n"/>
      <c r="H366" s="26" t="n"/>
      <c r="I366" s="10">
        <f>IF(H366&lt;&gt;"",H366,IF(AND(F366&lt;&gt;"",G366&lt;&gt;""),ROUND((G366-F366)*1440,0),""))</f>
        <v/>
      </c>
      <c r="J366" s="26" t="n"/>
      <c r="K366" s="9">
        <f>IF(D366="","",IFERROR(VLOOKUP(D366,参数!$A$5:$C$24,2,0),""))</f>
        <v/>
      </c>
      <c r="L366" s="9">
        <f>IF(D366="","",IFERROR(VLOOKUP(D366,参数!$A$5:$C$24,3,0),""))</f>
        <v/>
      </c>
      <c r="M366" s="21" t="n"/>
      <c r="N366" s="21" t="n"/>
      <c r="O366" s="21" t="n"/>
    </row>
    <row r="367">
      <c r="A367" s="24" t="n"/>
      <c r="B367" s="21" t="n"/>
      <c r="C367" s="21" t="n"/>
      <c r="D367" s="21" t="n"/>
      <c r="E367" s="21" t="n"/>
      <c r="F367" s="28" t="n"/>
      <c r="G367" s="28" t="n"/>
      <c r="H367" s="26" t="n"/>
      <c r="I367" s="10">
        <f>IF(H367&lt;&gt;"",H367,IF(AND(F367&lt;&gt;"",G367&lt;&gt;""),ROUND((G367-F367)*1440,0),""))</f>
        <v/>
      </c>
      <c r="J367" s="26" t="n"/>
      <c r="K367" s="9">
        <f>IF(D367="","",IFERROR(VLOOKUP(D367,参数!$A$5:$C$24,2,0),""))</f>
        <v/>
      </c>
      <c r="L367" s="9">
        <f>IF(D367="","",IFERROR(VLOOKUP(D367,参数!$A$5:$C$24,3,0),""))</f>
        <v/>
      </c>
      <c r="M367" s="21" t="n"/>
      <c r="N367" s="21" t="n"/>
      <c r="O367" s="21" t="n"/>
    </row>
    <row r="368">
      <c r="A368" s="24" t="n"/>
      <c r="B368" s="21" t="n"/>
      <c r="C368" s="21" t="n"/>
      <c r="D368" s="21" t="n"/>
      <c r="E368" s="21" t="n"/>
      <c r="F368" s="28" t="n"/>
      <c r="G368" s="28" t="n"/>
      <c r="H368" s="26" t="n"/>
      <c r="I368" s="10">
        <f>IF(H368&lt;&gt;"",H368,IF(AND(F368&lt;&gt;"",G368&lt;&gt;""),ROUND((G368-F368)*1440,0),""))</f>
        <v/>
      </c>
      <c r="J368" s="26" t="n"/>
      <c r="K368" s="9">
        <f>IF(D368="","",IFERROR(VLOOKUP(D368,参数!$A$5:$C$24,2,0),""))</f>
        <v/>
      </c>
      <c r="L368" s="9">
        <f>IF(D368="","",IFERROR(VLOOKUP(D368,参数!$A$5:$C$24,3,0),""))</f>
        <v/>
      </c>
      <c r="M368" s="21" t="n"/>
      <c r="N368" s="21" t="n"/>
      <c r="O368" s="21" t="n"/>
    </row>
    <row r="369">
      <c r="A369" s="24" t="n"/>
      <c r="B369" s="21" t="n"/>
      <c r="C369" s="21" t="n"/>
      <c r="D369" s="21" t="n"/>
      <c r="E369" s="21" t="n"/>
      <c r="F369" s="28" t="n"/>
      <c r="G369" s="28" t="n"/>
      <c r="H369" s="26" t="n"/>
      <c r="I369" s="10">
        <f>IF(H369&lt;&gt;"",H369,IF(AND(F369&lt;&gt;"",G369&lt;&gt;""),ROUND((G369-F369)*1440,0),""))</f>
        <v/>
      </c>
      <c r="J369" s="26" t="n"/>
      <c r="K369" s="9">
        <f>IF(D369="","",IFERROR(VLOOKUP(D369,参数!$A$5:$C$24,2,0),""))</f>
        <v/>
      </c>
      <c r="L369" s="9">
        <f>IF(D369="","",IFERROR(VLOOKUP(D369,参数!$A$5:$C$24,3,0),""))</f>
        <v/>
      </c>
      <c r="M369" s="21" t="n"/>
      <c r="N369" s="21" t="n"/>
      <c r="O369" s="21" t="n"/>
    </row>
    <row r="370">
      <c r="A370" s="24" t="n"/>
      <c r="B370" s="21" t="n"/>
      <c r="C370" s="21" t="n"/>
      <c r="D370" s="21" t="n"/>
      <c r="E370" s="21" t="n"/>
      <c r="F370" s="28" t="n"/>
      <c r="G370" s="28" t="n"/>
      <c r="H370" s="26" t="n"/>
      <c r="I370" s="10">
        <f>IF(H370&lt;&gt;"",H370,IF(AND(F370&lt;&gt;"",G370&lt;&gt;""),ROUND((G370-F370)*1440,0),""))</f>
        <v/>
      </c>
      <c r="J370" s="26" t="n"/>
      <c r="K370" s="9">
        <f>IF(D370="","",IFERROR(VLOOKUP(D370,参数!$A$5:$C$24,2,0),""))</f>
        <v/>
      </c>
      <c r="L370" s="9">
        <f>IF(D370="","",IFERROR(VLOOKUP(D370,参数!$A$5:$C$24,3,0),""))</f>
        <v/>
      </c>
      <c r="M370" s="21" t="n"/>
      <c r="N370" s="21" t="n"/>
      <c r="O370" s="21" t="n"/>
    </row>
    <row r="371">
      <c r="A371" s="24" t="n"/>
      <c r="B371" s="21" t="n"/>
      <c r="C371" s="21" t="n"/>
      <c r="D371" s="21" t="n"/>
      <c r="E371" s="21" t="n"/>
      <c r="F371" s="28" t="n"/>
      <c r="G371" s="28" t="n"/>
      <c r="H371" s="26" t="n"/>
      <c r="I371" s="10">
        <f>IF(H371&lt;&gt;"",H371,IF(AND(F371&lt;&gt;"",G371&lt;&gt;""),ROUND((G371-F371)*1440,0),""))</f>
        <v/>
      </c>
      <c r="J371" s="26" t="n"/>
      <c r="K371" s="9">
        <f>IF(D371="","",IFERROR(VLOOKUP(D371,参数!$A$5:$C$24,2,0),""))</f>
        <v/>
      </c>
      <c r="L371" s="9">
        <f>IF(D371="","",IFERROR(VLOOKUP(D371,参数!$A$5:$C$24,3,0),""))</f>
        <v/>
      </c>
      <c r="M371" s="21" t="n"/>
      <c r="N371" s="21" t="n"/>
      <c r="O371" s="21" t="n"/>
    </row>
    <row r="372">
      <c r="A372" s="24" t="n"/>
      <c r="B372" s="21" t="n"/>
      <c r="C372" s="21" t="n"/>
      <c r="D372" s="21" t="n"/>
      <c r="E372" s="21" t="n"/>
      <c r="F372" s="28" t="n"/>
      <c r="G372" s="28" t="n"/>
      <c r="H372" s="26" t="n"/>
      <c r="I372" s="10">
        <f>IF(H372&lt;&gt;"",H372,IF(AND(F372&lt;&gt;"",G372&lt;&gt;""),ROUND((G372-F372)*1440,0),""))</f>
        <v/>
      </c>
      <c r="J372" s="26" t="n"/>
      <c r="K372" s="9">
        <f>IF(D372="","",IFERROR(VLOOKUP(D372,参数!$A$5:$C$24,2,0),""))</f>
        <v/>
      </c>
      <c r="L372" s="9">
        <f>IF(D372="","",IFERROR(VLOOKUP(D372,参数!$A$5:$C$24,3,0),""))</f>
        <v/>
      </c>
      <c r="M372" s="21" t="n"/>
      <c r="N372" s="21" t="n"/>
      <c r="O372" s="21" t="n"/>
    </row>
    <row r="373">
      <c r="A373" s="24" t="n"/>
      <c r="B373" s="21" t="n"/>
      <c r="C373" s="21" t="n"/>
      <c r="D373" s="21" t="n"/>
      <c r="E373" s="21" t="n"/>
      <c r="F373" s="28" t="n"/>
      <c r="G373" s="28" t="n"/>
      <c r="H373" s="26" t="n"/>
      <c r="I373" s="10">
        <f>IF(H373&lt;&gt;"",H373,IF(AND(F373&lt;&gt;"",G373&lt;&gt;""),ROUND((G373-F373)*1440,0),""))</f>
        <v/>
      </c>
      <c r="J373" s="26" t="n"/>
      <c r="K373" s="9">
        <f>IF(D373="","",IFERROR(VLOOKUP(D373,参数!$A$5:$C$24,2,0),""))</f>
        <v/>
      </c>
      <c r="L373" s="9">
        <f>IF(D373="","",IFERROR(VLOOKUP(D373,参数!$A$5:$C$24,3,0),""))</f>
        <v/>
      </c>
      <c r="M373" s="21" t="n"/>
      <c r="N373" s="21" t="n"/>
      <c r="O373" s="21" t="n"/>
    </row>
    <row r="374">
      <c r="A374" s="24" t="n"/>
      <c r="B374" s="21" t="n"/>
      <c r="C374" s="21" t="n"/>
      <c r="D374" s="21" t="n"/>
      <c r="E374" s="21" t="n"/>
      <c r="F374" s="28" t="n"/>
      <c r="G374" s="28" t="n"/>
      <c r="H374" s="26" t="n"/>
      <c r="I374" s="10">
        <f>IF(H374&lt;&gt;"",H374,IF(AND(F374&lt;&gt;"",G374&lt;&gt;""),ROUND((G374-F374)*1440,0),""))</f>
        <v/>
      </c>
      <c r="J374" s="26" t="n"/>
      <c r="K374" s="9">
        <f>IF(D374="","",IFERROR(VLOOKUP(D374,参数!$A$5:$C$24,2,0),""))</f>
        <v/>
      </c>
      <c r="L374" s="9">
        <f>IF(D374="","",IFERROR(VLOOKUP(D374,参数!$A$5:$C$24,3,0),""))</f>
        <v/>
      </c>
      <c r="M374" s="21" t="n"/>
      <c r="N374" s="21" t="n"/>
      <c r="O374" s="21" t="n"/>
    </row>
    <row r="375">
      <c r="A375" s="24" t="n"/>
      <c r="B375" s="21" t="n"/>
      <c r="C375" s="21" t="n"/>
      <c r="D375" s="21" t="n"/>
      <c r="E375" s="21" t="n"/>
      <c r="F375" s="28" t="n"/>
      <c r="G375" s="28" t="n"/>
      <c r="H375" s="26" t="n"/>
      <c r="I375" s="10">
        <f>IF(H375&lt;&gt;"",H375,IF(AND(F375&lt;&gt;"",G375&lt;&gt;""),ROUND((G375-F375)*1440,0),""))</f>
        <v/>
      </c>
      <c r="J375" s="26" t="n"/>
      <c r="K375" s="9">
        <f>IF(D375="","",IFERROR(VLOOKUP(D375,参数!$A$5:$C$24,2,0),""))</f>
        <v/>
      </c>
      <c r="L375" s="9">
        <f>IF(D375="","",IFERROR(VLOOKUP(D375,参数!$A$5:$C$24,3,0),""))</f>
        <v/>
      </c>
      <c r="M375" s="21" t="n"/>
      <c r="N375" s="21" t="n"/>
      <c r="O375" s="21" t="n"/>
    </row>
    <row r="376">
      <c r="A376" s="24" t="n"/>
      <c r="B376" s="21" t="n"/>
      <c r="C376" s="21" t="n"/>
      <c r="D376" s="21" t="n"/>
      <c r="E376" s="21" t="n"/>
      <c r="F376" s="28" t="n"/>
      <c r="G376" s="28" t="n"/>
      <c r="H376" s="26" t="n"/>
      <c r="I376" s="10">
        <f>IF(H376&lt;&gt;"",H376,IF(AND(F376&lt;&gt;"",G376&lt;&gt;""),ROUND((G376-F376)*1440,0),""))</f>
        <v/>
      </c>
      <c r="J376" s="26" t="n"/>
      <c r="K376" s="9">
        <f>IF(D376="","",IFERROR(VLOOKUP(D376,参数!$A$5:$C$24,2,0),""))</f>
        <v/>
      </c>
      <c r="L376" s="9">
        <f>IF(D376="","",IFERROR(VLOOKUP(D376,参数!$A$5:$C$24,3,0),""))</f>
        <v/>
      </c>
      <c r="M376" s="21" t="n"/>
      <c r="N376" s="21" t="n"/>
      <c r="O376" s="21" t="n"/>
    </row>
    <row r="377">
      <c r="A377" s="24" t="n"/>
      <c r="B377" s="21" t="n"/>
      <c r="C377" s="21" t="n"/>
      <c r="D377" s="21" t="n"/>
      <c r="E377" s="21" t="n"/>
      <c r="F377" s="28" t="n"/>
      <c r="G377" s="28" t="n"/>
      <c r="H377" s="26" t="n"/>
      <c r="I377" s="10">
        <f>IF(H377&lt;&gt;"",H377,IF(AND(F377&lt;&gt;"",G377&lt;&gt;""),ROUND((G377-F377)*1440,0),""))</f>
        <v/>
      </c>
      <c r="J377" s="26" t="n"/>
      <c r="K377" s="9">
        <f>IF(D377="","",IFERROR(VLOOKUP(D377,参数!$A$5:$C$24,2,0),""))</f>
        <v/>
      </c>
      <c r="L377" s="9">
        <f>IF(D377="","",IFERROR(VLOOKUP(D377,参数!$A$5:$C$24,3,0),""))</f>
        <v/>
      </c>
      <c r="M377" s="21" t="n"/>
      <c r="N377" s="21" t="n"/>
      <c r="O377" s="21" t="n"/>
    </row>
    <row r="378">
      <c r="A378" s="24" t="n"/>
      <c r="B378" s="21" t="n"/>
      <c r="C378" s="21" t="n"/>
      <c r="D378" s="21" t="n"/>
      <c r="E378" s="21" t="n"/>
      <c r="F378" s="28" t="n"/>
      <c r="G378" s="28" t="n"/>
      <c r="H378" s="26" t="n"/>
      <c r="I378" s="10">
        <f>IF(H378&lt;&gt;"",H378,IF(AND(F378&lt;&gt;"",G378&lt;&gt;""),ROUND((G378-F378)*1440,0),""))</f>
        <v/>
      </c>
      <c r="J378" s="26" t="n"/>
      <c r="K378" s="9">
        <f>IF(D378="","",IFERROR(VLOOKUP(D378,参数!$A$5:$C$24,2,0),""))</f>
        <v/>
      </c>
      <c r="L378" s="9">
        <f>IF(D378="","",IFERROR(VLOOKUP(D378,参数!$A$5:$C$24,3,0),""))</f>
        <v/>
      </c>
      <c r="M378" s="21" t="n"/>
      <c r="N378" s="21" t="n"/>
      <c r="O378" s="21" t="n"/>
    </row>
    <row r="379">
      <c r="A379" s="24" t="n"/>
      <c r="B379" s="21" t="n"/>
      <c r="C379" s="21" t="n"/>
      <c r="D379" s="21" t="n"/>
      <c r="E379" s="21" t="n"/>
      <c r="F379" s="28" t="n"/>
      <c r="G379" s="28" t="n"/>
      <c r="H379" s="26" t="n"/>
      <c r="I379" s="10">
        <f>IF(H379&lt;&gt;"",H379,IF(AND(F379&lt;&gt;"",G379&lt;&gt;""),ROUND((G379-F379)*1440,0),""))</f>
        <v/>
      </c>
      <c r="J379" s="26" t="n"/>
      <c r="K379" s="9">
        <f>IF(D379="","",IFERROR(VLOOKUP(D379,参数!$A$5:$C$24,2,0),""))</f>
        <v/>
      </c>
      <c r="L379" s="9">
        <f>IF(D379="","",IFERROR(VLOOKUP(D379,参数!$A$5:$C$24,3,0),""))</f>
        <v/>
      </c>
      <c r="M379" s="21" t="n"/>
      <c r="N379" s="21" t="n"/>
      <c r="O379" s="21" t="n"/>
    </row>
    <row r="380">
      <c r="A380" s="24" t="n"/>
      <c r="B380" s="21" t="n"/>
      <c r="C380" s="21" t="n"/>
      <c r="D380" s="21" t="n"/>
      <c r="E380" s="21" t="n"/>
      <c r="F380" s="28" t="n"/>
      <c r="G380" s="28" t="n"/>
      <c r="H380" s="26" t="n"/>
      <c r="I380" s="10">
        <f>IF(H380&lt;&gt;"",H380,IF(AND(F380&lt;&gt;"",G380&lt;&gt;""),ROUND((G380-F380)*1440,0),""))</f>
        <v/>
      </c>
      <c r="J380" s="26" t="n"/>
      <c r="K380" s="9">
        <f>IF(D380="","",IFERROR(VLOOKUP(D380,参数!$A$5:$C$24,2,0),""))</f>
        <v/>
      </c>
      <c r="L380" s="9">
        <f>IF(D380="","",IFERROR(VLOOKUP(D380,参数!$A$5:$C$24,3,0),""))</f>
        <v/>
      </c>
      <c r="M380" s="21" t="n"/>
      <c r="N380" s="21" t="n"/>
      <c r="O380" s="21" t="n"/>
    </row>
    <row r="381">
      <c r="A381" s="24" t="n"/>
      <c r="B381" s="21" t="n"/>
      <c r="C381" s="21" t="n"/>
      <c r="D381" s="21" t="n"/>
      <c r="E381" s="21" t="n"/>
      <c r="F381" s="28" t="n"/>
      <c r="G381" s="28" t="n"/>
      <c r="H381" s="26" t="n"/>
      <c r="I381" s="10">
        <f>IF(H381&lt;&gt;"",H381,IF(AND(F381&lt;&gt;"",G381&lt;&gt;""),ROUND((G381-F381)*1440,0),""))</f>
        <v/>
      </c>
      <c r="J381" s="26" t="n"/>
      <c r="K381" s="9">
        <f>IF(D381="","",IFERROR(VLOOKUP(D381,参数!$A$5:$C$24,2,0),""))</f>
        <v/>
      </c>
      <c r="L381" s="9">
        <f>IF(D381="","",IFERROR(VLOOKUP(D381,参数!$A$5:$C$24,3,0),""))</f>
        <v/>
      </c>
      <c r="M381" s="21" t="n"/>
      <c r="N381" s="21" t="n"/>
      <c r="O381" s="21" t="n"/>
    </row>
    <row r="382">
      <c r="A382" s="24" t="n"/>
      <c r="B382" s="21" t="n"/>
      <c r="C382" s="21" t="n"/>
      <c r="D382" s="21" t="n"/>
      <c r="E382" s="21" t="n"/>
      <c r="F382" s="28" t="n"/>
      <c r="G382" s="28" t="n"/>
      <c r="H382" s="26" t="n"/>
      <c r="I382" s="10">
        <f>IF(H382&lt;&gt;"",H382,IF(AND(F382&lt;&gt;"",G382&lt;&gt;""),ROUND((G382-F382)*1440,0),""))</f>
        <v/>
      </c>
      <c r="J382" s="26" t="n"/>
      <c r="K382" s="9">
        <f>IF(D382="","",IFERROR(VLOOKUP(D382,参数!$A$5:$C$24,2,0),""))</f>
        <v/>
      </c>
      <c r="L382" s="9">
        <f>IF(D382="","",IFERROR(VLOOKUP(D382,参数!$A$5:$C$24,3,0),""))</f>
        <v/>
      </c>
      <c r="M382" s="21" t="n"/>
      <c r="N382" s="21" t="n"/>
      <c r="O382" s="21" t="n"/>
    </row>
    <row r="383">
      <c r="A383" s="24" t="n"/>
      <c r="B383" s="21" t="n"/>
      <c r="C383" s="21" t="n"/>
      <c r="D383" s="21" t="n"/>
      <c r="E383" s="21" t="n"/>
      <c r="F383" s="28" t="n"/>
      <c r="G383" s="28" t="n"/>
      <c r="H383" s="26" t="n"/>
      <c r="I383" s="10">
        <f>IF(H383&lt;&gt;"",H383,IF(AND(F383&lt;&gt;"",G383&lt;&gt;""),ROUND((G383-F383)*1440,0),""))</f>
        <v/>
      </c>
      <c r="J383" s="26" t="n"/>
      <c r="K383" s="9">
        <f>IF(D383="","",IFERROR(VLOOKUP(D383,参数!$A$5:$C$24,2,0),""))</f>
        <v/>
      </c>
      <c r="L383" s="9">
        <f>IF(D383="","",IFERROR(VLOOKUP(D383,参数!$A$5:$C$24,3,0),""))</f>
        <v/>
      </c>
      <c r="M383" s="21" t="n"/>
      <c r="N383" s="21" t="n"/>
      <c r="O383" s="21" t="n"/>
    </row>
    <row r="384">
      <c r="A384" s="24" t="n"/>
      <c r="B384" s="21" t="n"/>
      <c r="C384" s="21" t="n"/>
      <c r="D384" s="21" t="n"/>
      <c r="E384" s="21" t="n"/>
      <c r="F384" s="28" t="n"/>
      <c r="G384" s="28" t="n"/>
      <c r="H384" s="26" t="n"/>
      <c r="I384" s="10">
        <f>IF(H384&lt;&gt;"",H384,IF(AND(F384&lt;&gt;"",G384&lt;&gt;""),ROUND((G384-F384)*1440,0),""))</f>
        <v/>
      </c>
      <c r="J384" s="26" t="n"/>
      <c r="K384" s="9">
        <f>IF(D384="","",IFERROR(VLOOKUP(D384,参数!$A$5:$C$24,2,0),""))</f>
        <v/>
      </c>
      <c r="L384" s="9">
        <f>IF(D384="","",IFERROR(VLOOKUP(D384,参数!$A$5:$C$24,3,0),""))</f>
        <v/>
      </c>
      <c r="M384" s="21" t="n"/>
      <c r="N384" s="21" t="n"/>
      <c r="O384" s="21" t="n"/>
    </row>
    <row r="385">
      <c r="A385" s="24" t="n"/>
      <c r="B385" s="21" t="n"/>
      <c r="C385" s="21" t="n"/>
      <c r="D385" s="21" t="n"/>
      <c r="E385" s="21" t="n"/>
      <c r="F385" s="28" t="n"/>
      <c r="G385" s="28" t="n"/>
      <c r="H385" s="26" t="n"/>
      <c r="I385" s="10">
        <f>IF(H385&lt;&gt;"",H385,IF(AND(F385&lt;&gt;"",G385&lt;&gt;""),ROUND((G385-F385)*1440,0),""))</f>
        <v/>
      </c>
      <c r="J385" s="26" t="n"/>
      <c r="K385" s="9">
        <f>IF(D385="","",IFERROR(VLOOKUP(D385,参数!$A$5:$C$24,2,0),""))</f>
        <v/>
      </c>
      <c r="L385" s="9">
        <f>IF(D385="","",IFERROR(VLOOKUP(D385,参数!$A$5:$C$24,3,0),""))</f>
        <v/>
      </c>
      <c r="M385" s="21" t="n"/>
      <c r="N385" s="21" t="n"/>
      <c r="O385" s="21" t="n"/>
    </row>
    <row r="386">
      <c r="A386" s="24" t="n"/>
      <c r="B386" s="21" t="n"/>
      <c r="C386" s="21" t="n"/>
      <c r="D386" s="21" t="n"/>
      <c r="E386" s="21" t="n"/>
      <c r="F386" s="28" t="n"/>
      <c r="G386" s="28" t="n"/>
      <c r="H386" s="26" t="n"/>
      <c r="I386" s="10">
        <f>IF(H386&lt;&gt;"",H386,IF(AND(F386&lt;&gt;"",G386&lt;&gt;""),ROUND((G386-F386)*1440,0),""))</f>
        <v/>
      </c>
      <c r="J386" s="26" t="n"/>
      <c r="K386" s="9">
        <f>IF(D386="","",IFERROR(VLOOKUP(D386,参数!$A$5:$C$24,2,0),""))</f>
        <v/>
      </c>
      <c r="L386" s="9">
        <f>IF(D386="","",IFERROR(VLOOKUP(D386,参数!$A$5:$C$24,3,0),""))</f>
        <v/>
      </c>
      <c r="M386" s="21" t="n"/>
      <c r="N386" s="21" t="n"/>
      <c r="O386" s="21" t="n"/>
    </row>
    <row r="387">
      <c r="A387" s="24" t="n"/>
      <c r="B387" s="21" t="n"/>
      <c r="C387" s="21" t="n"/>
      <c r="D387" s="21" t="n"/>
      <c r="E387" s="21" t="n"/>
      <c r="F387" s="28" t="n"/>
      <c r="G387" s="28" t="n"/>
      <c r="H387" s="26" t="n"/>
      <c r="I387" s="10">
        <f>IF(H387&lt;&gt;"",H387,IF(AND(F387&lt;&gt;"",G387&lt;&gt;""),ROUND((G387-F387)*1440,0),""))</f>
        <v/>
      </c>
      <c r="J387" s="26" t="n"/>
      <c r="K387" s="9">
        <f>IF(D387="","",IFERROR(VLOOKUP(D387,参数!$A$5:$C$24,2,0),""))</f>
        <v/>
      </c>
      <c r="L387" s="9">
        <f>IF(D387="","",IFERROR(VLOOKUP(D387,参数!$A$5:$C$24,3,0),""))</f>
        <v/>
      </c>
      <c r="M387" s="21" t="n"/>
      <c r="N387" s="21" t="n"/>
      <c r="O387" s="21" t="n"/>
    </row>
    <row r="388">
      <c r="A388" s="24" t="n"/>
      <c r="B388" s="21" t="n"/>
      <c r="C388" s="21" t="n"/>
      <c r="D388" s="21" t="n"/>
      <c r="E388" s="21" t="n"/>
      <c r="F388" s="28" t="n"/>
      <c r="G388" s="28" t="n"/>
      <c r="H388" s="26" t="n"/>
      <c r="I388" s="10">
        <f>IF(H388&lt;&gt;"",H388,IF(AND(F388&lt;&gt;"",G388&lt;&gt;""),ROUND((G388-F388)*1440,0),""))</f>
        <v/>
      </c>
      <c r="J388" s="26" t="n"/>
      <c r="K388" s="9">
        <f>IF(D388="","",IFERROR(VLOOKUP(D388,参数!$A$5:$C$24,2,0),""))</f>
        <v/>
      </c>
      <c r="L388" s="9">
        <f>IF(D388="","",IFERROR(VLOOKUP(D388,参数!$A$5:$C$24,3,0),""))</f>
        <v/>
      </c>
      <c r="M388" s="21" t="n"/>
      <c r="N388" s="21" t="n"/>
      <c r="O388" s="21" t="n"/>
    </row>
    <row r="389">
      <c r="A389" s="24" t="n"/>
      <c r="B389" s="21" t="n"/>
      <c r="C389" s="21" t="n"/>
      <c r="D389" s="21" t="n"/>
      <c r="E389" s="21" t="n"/>
      <c r="F389" s="28" t="n"/>
      <c r="G389" s="28" t="n"/>
      <c r="H389" s="26" t="n"/>
      <c r="I389" s="10">
        <f>IF(H389&lt;&gt;"",H389,IF(AND(F389&lt;&gt;"",G389&lt;&gt;""),ROUND((G389-F389)*1440,0),""))</f>
        <v/>
      </c>
      <c r="J389" s="26" t="n"/>
      <c r="K389" s="9">
        <f>IF(D389="","",IFERROR(VLOOKUP(D389,参数!$A$5:$C$24,2,0),""))</f>
        <v/>
      </c>
      <c r="L389" s="9">
        <f>IF(D389="","",IFERROR(VLOOKUP(D389,参数!$A$5:$C$24,3,0),""))</f>
        <v/>
      </c>
      <c r="M389" s="21" t="n"/>
      <c r="N389" s="21" t="n"/>
      <c r="O389" s="21" t="n"/>
    </row>
    <row r="390">
      <c r="A390" s="24" t="n"/>
      <c r="B390" s="21" t="n"/>
      <c r="C390" s="21" t="n"/>
      <c r="D390" s="21" t="n"/>
      <c r="E390" s="21" t="n"/>
      <c r="F390" s="28" t="n"/>
      <c r="G390" s="28" t="n"/>
      <c r="H390" s="26" t="n"/>
      <c r="I390" s="10">
        <f>IF(H390&lt;&gt;"",H390,IF(AND(F390&lt;&gt;"",G390&lt;&gt;""),ROUND((G390-F390)*1440,0),""))</f>
        <v/>
      </c>
      <c r="J390" s="26" t="n"/>
      <c r="K390" s="9">
        <f>IF(D390="","",IFERROR(VLOOKUP(D390,参数!$A$5:$C$24,2,0),""))</f>
        <v/>
      </c>
      <c r="L390" s="9">
        <f>IF(D390="","",IFERROR(VLOOKUP(D390,参数!$A$5:$C$24,3,0),""))</f>
        <v/>
      </c>
      <c r="M390" s="21" t="n"/>
      <c r="N390" s="21" t="n"/>
      <c r="O390" s="21" t="n"/>
    </row>
    <row r="391">
      <c r="A391" s="24" t="n"/>
      <c r="B391" s="21" t="n"/>
      <c r="C391" s="21" t="n"/>
      <c r="D391" s="21" t="n"/>
      <c r="E391" s="21" t="n"/>
      <c r="F391" s="28" t="n"/>
      <c r="G391" s="28" t="n"/>
      <c r="H391" s="26" t="n"/>
      <c r="I391" s="10">
        <f>IF(H391&lt;&gt;"",H391,IF(AND(F391&lt;&gt;"",G391&lt;&gt;""),ROUND((G391-F391)*1440,0),""))</f>
        <v/>
      </c>
      <c r="J391" s="26" t="n"/>
      <c r="K391" s="9">
        <f>IF(D391="","",IFERROR(VLOOKUP(D391,参数!$A$5:$C$24,2,0),""))</f>
        <v/>
      </c>
      <c r="L391" s="9">
        <f>IF(D391="","",IFERROR(VLOOKUP(D391,参数!$A$5:$C$24,3,0),""))</f>
        <v/>
      </c>
      <c r="M391" s="21" t="n"/>
      <c r="N391" s="21" t="n"/>
      <c r="O391" s="21" t="n"/>
    </row>
    <row r="392">
      <c r="A392" s="24" t="n"/>
      <c r="B392" s="21" t="n"/>
      <c r="C392" s="21" t="n"/>
      <c r="D392" s="21" t="n"/>
      <c r="E392" s="21" t="n"/>
      <c r="F392" s="28" t="n"/>
      <c r="G392" s="28" t="n"/>
      <c r="H392" s="26" t="n"/>
      <c r="I392" s="10">
        <f>IF(H392&lt;&gt;"",H392,IF(AND(F392&lt;&gt;"",G392&lt;&gt;""),ROUND((G392-F392)*1440,0),""))</f>
        <v/>
      </c>
      <c r="J392" s="26" t="n"/>
      <c r="K392" s="9">
        <f>IF(D392="","",IFERROR(VLOOKUP(D392,参数!$A$5:$C$24,2,0),""))</f>
        <v/>
      </c>
      <c r="L392" s="9">
        <f>IF(D392="","",IFERROR(VLOOKUP(D392,参数!$A$5:$C$24,3,0),""))</f>
        <v/>
      </c>
      <c r="M392" s="21" t="n"/>
      <c r="N392" s="21" t="n"/>
      <c r="O392" s="21" t="n"/>
    </row>
    <row r="393">
      <c r="A393" s="24" t="n"/>
      <c r="B393" s="21" t="n"/>
      <c r="C393" s="21" t="n"/>
      <c r="D393" s="21" t="n"/>
      <c r="E393" s="21" t="n"/>
      <c r="F393" s="28" t="n"/>
      <c r="G393" s="28" t="n"/>
      <c r="H393" s="26" t="n"/>
      <c r="I393" s="10">
        <f>IF(H393&lt;&gt;"",H393,IF(AND(F393&lt;&gt;"",G393&lt;&gt;""),ROUND((G393-F393)*1440,0),""))</f>
        <v/>
      </c>
      <c r="J393" s="26" t="n"/>
      <c r="K393" s="9">
        <f>IF(D393="","",IFERROR(VLOOKUP(D393,参数!$A$5:$C$24,2,0),""))</f>
        <v/>
      </c>
      <c r="L393" s="9">
        <f>IF(D393="","",IFERROR(VLOOKUP(D393,参数!$A$5:$C$24,3,0),""))</f>
        <v/>
      </c>
      <c r="M393" s="21" t="n"/>
      <c r="N393" s="21" t="n"/>
      <c r="O393" s="21" t="n"/>
    </row>
    <row r="394">
      <c r="A394" s="24" t="n"/>
      <c r="B394" s="21" t="n"/>
      <c r="C394" s="21" t="n"/>
      <c r="D394" s="21" t="n"/>
      <c r="E394" s="21" t="n"/>
      <c r="F394" s="28" t="n"/>
      <c r="G394" s="28" t="n"/>
      <c r="H394" s="26" t="n"/>
      <c r="I394" s="10">
        <f>IF(H394&lt;&gt;"",H394,IF(AND(F394&lt;&gt;"",G394&lt;&gt;""),ROUND((G394-F394)*1440,0),""))</f>
        <v/>
      </c>
      <c r="J394" s="26" t="n"/>
      <c r="K394" s="9">
        <f>IF(D394="","",IFERROR(VLOOKUP(D394,参数!$A$5:$C$24,2,0),""))</f>
        <v/>
      </c>
      <c r="L394" s="9">
        <f>IF(D394="","",IFERROR(VLOOKUP(D394,参数!$A$5:$C$24,3,0),""))</f>
        <v/>
      </c>
      <c r="M394" s="21" t="n"/>
      <c r="N394" s="21" t="n"/>
      <c r="O394" s="21" t="n"/>
    </row>
    <row r="395">
      <c r="A395" s="24" t="n"/>
      <c r="B395" s="21" t="n"/>
      <c r="C395" s="21" t="n"/>
      <c r="D395" s="21" t="n"/>
      <c r="E395" s="21" t="n"/>
      <c r="F395" s="28" t="n"/>
      <c r="G395" s="28" t="n"/>
      <c r="H395" s="26" t="n"/>
      <c r="I395" s="10">
        <f>IF(H395&lt;&gt;"",H395,IF(AND(F395&lt;&gt;"",G395&lt;&gt;""),ROUND((G395-F395)*1440,0),""))</f>
        <v/>
      </c>
      <c r="J395" s="26" t="n"/>
      <c r="K395" s="9">
        <f>IF(D395="","",IFERROR(VLOOKUP(D395,参数!$A$5:$C$24,2,0),""))</f>
        <v/>
      </c>
      <c r="L395" s="9">
        <f>IF(D395="","",IFERROR(VLOOKUP(D395,参数!$A$5:$C$24,3,0),""))</f>
        <v/>
      </c>
      <c r="M395" s="21" t="n"/>
      <c r="N395" s="21" t="n"/>
      <c r="O395" s="21" t="n"/>
    </row>
    <row r="396">
      <c r="A396" s="24" t="n"/>
      <c r="B396" s="21" t="n"/>
      <c r="C396" s="21" t="n"/>
      <c r="D396" s="21" t="n"/>
      <c r="E396" s="21" t="n"/>
      <c r="F396" s="28" t="n"/>
      <c r="G396" s="28" t="n"/>
      <c r="H396" s="26" t="n"/>
      <c r="I396" s="10">
        <f>IF(H396&lt;&gt;"",H396,IF(AND(F396&lt;&gt;"",G396&lt;&gt;""),ROUND((G396-F396)*1440,0),""))</f>
        <v/>
      </c>
      <c r="J396" s="26" t="n"/>
      <c r="K396" s="9">
        <f>IF(D396="","",IFERROR(VLOOKUP(D396,参数!$A$5:$C$24,2,0),""))</f>
        <v/>
      </c>
      <c r="L396" s="9">
        <f>IF(D396="","",IFERROR(VLOOKUP(D396,参数!$A$5:$C$24,3,0),""))</f>
        <v/>
      </c>
      <c r="M396" s="21" t="n"/>
      <c r="N396" s="21" t="n"/>
      <c r="O396" s="21" t="n"/>
    </row>
    <row r="397">
      <c r="A397" s="24" t="n"/>
      <c r="B397" s="21" t="n"/>
      <c r="C397" s="21" t="n"/>
      <c r="D397" s="21" t="n"/>
      <c r="E397" s="21" t="n"/>
      <c r="F397" s="28" t="n"/>
      <c r="G397" s="28" t="n"/>
      <c r="H397" s="26" t="n"/>
      <c r="I397" s="10">
        <f>IF(H397&lt;&gt;"",H397,IF(AND(F397&lt;&gt;"",G397&lt;&gt;""),ROUND((G397-F397)*1440,0),""))</f>
        <v/>
      </c>
      <c r="J397" s="26" t="n"/>
      <c r="K397" s="9">
        <f>IF(D397="","",IFERROR(VLOOKUP(D397,参数!$A$5:$C$24,2,0),""))</f>
        <v/>
      </c>
      <c r="L397" s="9">
        <f>IF(D397="","",IFERROR(VLOOKUP(D397,参数!$A$5:$C$24,3,0),""))</f>
        <v/>
      </c>
      <c r="M397" s="21" t="n"/>
      <c r="N397" s="21" t="n"/>
      <c r="O397" s="21" t="n"/>
    </row>
    <row r="398">
      <c r="A398" s="24" t="n"/>
      <c r="B398" s="21" t="n"/>
      <c r="C398" s="21" t="n"/>
      <c r="D398" s="21" t="n"/>
      <c r="E398" s="21" t="n"/>
      <c r="F398" s="28" t="n"/>
      <c r="G398" s="28" t="n"/>
      <c r="H398" s="26" t="n"/>
      <c r="I398" s="10">
        <f>IF(H398&lt;&gt;"",H398,IF(AND(F398&lt;&gt;"",G398&lt;&gt;""),ROUND((G398-F398)*1440,0),""))</f>
        <v/>
      </c>
      <c r="J398" s="26" t="n"/>
      <c r="K398" s="9">
        <f>IF(D398="","",IFERROR(VLOOKUP(D398,参数!$A$5:$C$24,2,0),""))</f>
        <v/>
      </c>
      <c r="L398" s="9">
        <f>IF(D398="","",IFERROR(VLOOKUP(D398,参数!$A$5:$C$24,3,0),""))</f>
        <v/>
      </c>
      <c r="M398" s="21" t="n"/>
      <c r="N398" s="21" t="n"/>
      <c r="O398" s="21" t="n"/>
    </row>
    <row r="399">
      <c r="A399" s="24" t="n"/>
      <c r="B399" s="21" t="n"/>
      <c r="C399" s="21" t="n"/>
      <c r="D399" s="21" t="n"/>
      <c r="E399" s="21" t="n"/>
      <c r="F399" s="28" t="n"/>
      <c r="G399" s="28" t="n"/>
      <c r="H399" s="26" t="n"/>
      <c r="I399" s="10">
        <f>IF(H399&lt;&gt;"",H399,IF(AND(F399&lt;&gt;"",G399&lt;&gt;""),ROUND((G399-F399)*1440,0),""))</f>
        <v/>
      </c>
      <c r="J399" s="26" t="n"/>
      <c r="K399" s="9">
        <f>IF(D399="","",IFERROR(VLOOKUP(D399,参数!$A$5:$C$24,2,0),""))</f>
        <v/>
      </c>
      <c r="L399" s="9">
        <f>IF(D399="","",IFERROR(VLOOKUP(D399,参数!$A$5:$C$24,3,0),""))</f>
        <v/>
      </c>
      <c r="M399" s="21" t="n"/>
      <c r="N399" s="21" t="n"/>
      <c r="O399" s="21" t="n"/>
    </row>
    <row r="400">
      <c r="A400" s="24" t="n"/>
      <c r="B400" s="21" t="n"/>
      <c r="C400" s="21" t="n"/>
      <c r="D400" s="21" t="n"/>
      <c r="E400" s="21" t="n"/>
      <c r="F400" s="28" t="n"/>
      <c r="G400" s="28" t="n"/>
      <c r="H400" s="26" t="n"/>
      <c r="I400" s="10">
        <f>IF(H400&lt;&gt;"",H400,IF(AND(F400&lt;&gt;"",G400&lt;&gt;""),ROUND((G400-F400)*1440,0),""))</f>
        <v/>
      </c>
      <c r="J400" s="26" t="n"/>
      <c r="K400" s="9">
        <f>IF(D400="","",IFERROR(VLOOKUP(D400,参数!$A$5:$C$24,2,0),""))</f>
        <v/>
      </c>
      <c r="L400" s="9">
        <f>IF(D400="","",IFERROR(VLOOKUP(D400,参数!$A$5:$C$24,3,0),""))</f>
        <v/>
      </c>
      <c r="M400" s="21" t="n"/>
      <c r="N400" s="21" t="n"/>
      <c r="O400" s="21" t="n"/>
    </row>
    <row r="401">
      <c r="A401" s="24" t="n"/>
      <c r="B401" s="21" t="n"/>
      <c r="C401" s="21" t="n"/>
      <c r="D401" s="21" t="n"/>
      <c r="E401" s="21" t="n"/>
      <c r="F401" s="28" t="n"/>
      <c r="G401" s="28" t="n"/>
      <c r="H401" s="26" t="n"/>
      <c r="I401" s="10">
        <f>IF(H401&lt;&gt;"",H401,IF(AND(F401&lt;&gt;"",G401&lt;&gt;""),ROUND((G401-F401)*1440,0),""))</f>
        <v/>
      </c>
      <c r="J401" s="26" t="n"/>
      <c r="K401" s="9">
        <f>IF(D401="","",IFERROR(VLOOKUP(D401,参数!$A$5:$C$24,2,0),""))</f>
        <v/>
      </c>
      <c r="L401" s="9">
        <f>IF(D401="","",IFERROR(VLOOKUP(D401,参数!$A$5:$C$24,3,0),""))</f>
        <v/>
      </c>
      <c r="M401" s="21" t="n"/>
      <c r="N401" s="21" t="n"/>
      <c r="O401" s="21" t="n"/>
    </row>
    <row r="402">
      <c r="A402" s="24" t="n"/>
      <c r="B402" s="21" t="n"/>
      <c r="C402" s="21" t="n"/>
      <c r="D402" s="21" t="n"/>
      <c r="E402" s="21" t="n"/>
      <c r="F402" s="28" t="n"/>
      <c r="G402" s="28" t="n"/>
      <c r="H402" s="26" t="n"/>
      <c r="I402" s="10">
        <f>IF(H402&lt;&gt;"",H402,IF(AND(F402&lt;&gt;"",G402&lt;&gt;""),ROUND((G402-F402)*1440,0),""))</f>
        <v/>
      </c>
      <c r="J402" s="26" t="n"/>
      <c r="K402" s="9">
        <f>IF(D402="","",IFERROR(VLOOKUP(D402,参数!$A$5:$C$24,2,0),""))</f>
        <v/>
      </c>
      <c r="L402" s="9">
        <f>IF(D402="","",IFERROR(VLOOKUP(D402,参数!$A$5:$C$24,3,0),""))</f>
        <v/>
      </c>
      <c r="M402" s="21" t="n"/>
      <c r="N402" s="21" t="n"/>
      <c r="O402" s="21" t="n"/>
    </row>
    <row r="403">
      <c r="A403" s="24" t="n"/>
      <c r="B403" s="21" t="n"/>
      <c r="C403" s="21" t="n"/>
      <c r="D403" s="21" t="n"/>
      <c r="E403" s="21" t="n"/>
      <c r="F403" s="28" t="n"/>
      <c r="G403" s="28" t="n"/>
      <c r="H403" s="26" t="n"/>
      <c r="I403" s="10">
        <f>IF(H403&lt;&gt;"",H403,IF(AND(F403&lt;&gt;"",G403&lt;&gt;""),ROUND((G403-F403)*1440,0),""))</f>
        <v/>
      </c>
      <c r="J403" s="26" t="n"/>
      <c r="K403" s="9">
        <f>IF(D403="","",IFERROR(VLOOKUP(D403,参数!$A$5:$C$24,2,0),""))</f>
        <v/>
      </c>
      <c r="L403" s="9">
        <f>IF(D403="","",IFERROR(VLOOKUP(D403,参数!$A$5:$C$24,3,0),""))</f>
        <v/>
      </c>
      <c r="M403" s="21" t="n"/>
      <c r="N403" s="21" t="n"/>
      <c r="O403" s="21" t="n"/>
    </row>
    <row r="404">
      <c r="A404" s="24" t="n"/>
      <c r="B404" s="21" t="n"/>
      <c r="C404" s="21" t="n"/>
      <c r="D404" s="21" t="n"/>
      <c r="E404" s="21" t="n"/>
      <c r="F404" s="28" t="n"/>
      <c r="G404" s="28" t="n"/>
      <c r="H404" s="26" t="n"/>
      <c r="I404" s="10">
        <f>IF(H404&lt;&gt;"",H404,IF(AND(F404&lt;&gt;"",G404&lt;&gt;""),ROUND((G404-F404)*1440,0),""))</f>
        <v/>
      </c>
      <c r="J404" s="26" t="n"/>
      <c r="K404" s="9">
        <f>IF(D404="","",IFERROR(VLOOKUP(D404,参数!$A$5:$C$24,2,0),""))</f>
        <v/>
      </c>
      <c r="L404" s="9">
        <f>IF(D404="","",IFERROR(VLOOKUP(D404,参数!$A$5:$C$24,3,0),""))</f>
        <v/>
      </c>
      <c r="M404" s="21" t="n"/>
      <c r="N404" s="21" t="n"/>
      <c r="O404" s="21" t="n"/>
    </row>
    <row r="405">
      <c r="A405" s="24" t="n"/>
      <c r="B405" s="21" t="n"/>
      <c r="C405" s="21" t="n"/>
      <c r="D405" s="21" t="n"/>
      <c r="E405" s="21" t="n"/>
      <c r="F405" s="28" t="n"/>
      <c r="G405" s="28" t="n"/>
      <c r="H405" s="26" t="n"/>
      <c r="I405" s="10">
        <f>IF(H405&lt;&gt;"",H405,IF(AND(F405&lt;&gt;"",G405&lt;&gt;""),ROUND((G405-F405)*1440,0),""))</f>
        <v/>
      </c>
      <c r="J405" s="26" t="n"/>
      <c r="K405" s="9">
        <f>IF(D405="","",IFERROR(VLOOKUP(D405,参数!$A$5:$C$24,2,0),""))</f>
        <v/>
      </c>
      <c r="L405" s="9">
        <f>IF(D405="","",IFERROR(VLOOKUP(D405,参数!$A$5:$C$24,3,0),""))</f>
        <v/>
      </c>
      <c r="M405" s="21" t="n"/>
      <c r="N405" s="21" t="n"/>
      <c r="O405" s="21" t="n"/>
    </row>
    <row r="406">
      <c r="A406" s="24" t="n"/>
      <c r="B406" s="21" t="n"/>
      <c r="C406" s="21" t="n"/>
      <c r="D406" s="21" t="n"/>
      <c r="E406" s="21" t="n"/>
      <c r="F406" s="28" t="n"/>
      <c r="G406" s="28" t="n"/>
      <c r="H406" s="26" t="n"/>
      <c r="I406" s="10">
        <f>IF(H406&lt;&gt;"",H406,IF(AND(F406&lt;&gt;"",G406&lt;&gt;""),ROUND((G406-F406)*1440,0),""))</f>
        <v/>
      </c>
      <c r="J406" s="26" t="n"/>
      <c r="K406" s="9">
        <f>IF(D406="","",IFERROR(VLOOKUP(D406,参数!$A$5:$C$24,2,0),""))</f>
        <v/>
      </c>
      <c r="L406" s="9">
        <f>IF(D406="","",IFERROR(VLOOKUP(D406,参数!$A$5:$C$24,3,0),""))</f>
        <v/>
      </c>
      <c r="M406" s="21" t="n"/>
      <c r="N406" s="21" t="n"/>
      <c r="O406" s="21" t="n"/>
    </row>
    <row r="407">
      <c r="A407" s="24" t="n"/>
      <c r="B407" s="21" t="n"/>
      <c r="C407" s="21" t="n"/>
      <c r="D407" s="21" t="n"/>
      <c r="E407" s="21" t="n"/>
      <c r="F407" s="28" t="n"/>
      <c r="G407" s="28" t="n"/>
      <c r="H407" s="26" t="n"/>
      <c r="I407" s="10">
        <f>IF(H407&lt;&gt;"",H407,IF(AND(F407&lt;&gt;"",G407&lt;&gt;""),ROUND((G407-F407)*1440,0),""))</f>
        <v/>
      </c>
      <c r="J407" s="26" t="n"/>
      <c r="K407" s="9">
        <f>IF(D407="","",IFERROR(VLOOKUP(D407,参数!$A$5:$C$24,2,0),""))</f>
        <v/>
      </c>
      <c r="L407" s="9">
        <f>IF(D407="","",IFERROR(VLOOKUP(D407,参数!$A$5:$C$24,3,0),""))</f>
        <v/>
      </c>
      <c r="M407" s="21" t="n"/>
      <c r="N407" s="21" t="n"/>
      <c r="O407" s="21" t="n"/>
    </row>
    <row r="408">
      <c r="A408" s="24" t="n"/>
      <c r="B408" s="21" t="n"/>
      <c r="C408" s="21" t="n"/>
      <c r="D408" s="21" t="n"/>
      <c r="E408" s="21" t="n"/>
      <c r="F408" s="28" t="n"/>
      <c r="G408" s="28" t="n"/>
      <c r="H408" s="26" t="n"/>
      <c r="I408" s="10">
        <f>IF(H408&lt;&gt;"",H408,IF(AND(F408&lt;&gt;"",G408&lt;&gt;""),ROUND((G408-F408)*1440,0),""))</f>
        <v/>
      </c>
      <c r="J408" s="26" t="n"/>
      <c r="K408" s="9">
        <f>IF(D408="","",IFERROR(VLOOKUP(D408,参数!$A$5:$C$24,2,0),""))</f>
        <v/>
      </c>
      <c r="L408" s="9">
        <f>IF(D408="","",IFERROR(VLOOKUP(D408,参数!$A$5:$C$24,3,0),""))</f>
        <v/>
      </c>
      <c r="M408" s="21" t="n"/>
      <c r="N408" s="21" t="n"/>
      <c r="O408" s="21" t="n"/>
    </row>
    <row r="409">
      <c r="A409" s="24" t="n"/>
      <c r="B409" s="21" t="n"/>
      <c r="C409" s="21" t="n"/>
      <c r="D409" s="21" t="n"/>
      <c r="E409" s="21" t="n"/>
      <c r="F409" s="28" t="n"/>
      <c r="G409" s="28" t="n"/>
      <c r="H409" s="26" t="n"/>
      <c r="I409" s="10">
        <f>IF(H409&lt;&gt;"",H409,IF(AND(F409&lt;&gt;"",G409&lt;&gt;""),ROUND((G409-F409)*1440,0),""))</f>
        <v/>
      </c>
      <c r="J409" s="26" t="n"/>
      <c r="K409" s="9">
        <f>IF(D409="","",IFERROR(VLOOKUP(D409,参数!$A$5:$C$24,2,0),""))</f>
        <v/>
      </c>
      <c r="L409" s="9">
        <f>IF(D409="","",IFERROR(VLOOKUP(D409,参数!$A$5:$C$24,3,0),""))</f>
        <v/>
      </c>
      <c r="M409" s="21" t="n"/>
      <c r="N409" s="21" t="n"/>
      <c r="O409" s="21" t="n"/>
    </row>
    <row r="410">
      <c r="A410" s="24" t="n"/>
      <c r="B410" s="21" t="n"/>
      <c r="C410" s="21" t="n"/>
      <c r="D410" s="21" t="n"/>
      <c r="E410" s="21" t="n"/>
      <c r="F410" s="28" t="n"/>
      <c r="G410" s="28" t="n"/>
      <c r="H410" s="26" t="n"/>
      <c r="I410" s="10">
        <f>IF(H410&lt;&gt;"",H410,IF(AND(F410&lt;&gt;"",G410&lt;&gt;""),ROUND((G410-F410)*1440,0),""))</f>
        <v/>
      </c>
      <c r="J410" s="26" t="n"/>
      <c r="K410" s="9">
        <f>IF(D410="","",IFERROR(VLOOKUP(D410,参数!$A$5:$C$24,2,0),""))</f>
        <v/>
      </c>
      <c r="L410" s="9">
        <f>IF(D410="","",IFERROR(VLOOKUP(D410,参数!$A$5:$C$24,3,0),""))</f>
        <v/>
      </c>
      <c r="M410" s="21" t="n"/>
      <c r="N410" s="21" t="n"/>
      <c r="O410" s="21" t="n"/>
    </row>
    <row r="411">
      <c r="A411" s="24" t="n"/>
      <c r="B411" s="21" t="n"/>
      <c r="C411" s="21" t="n"/>
      <c r="D411" s="21" t="n"/>
      <c r="E411" s="21" t="n"/>
      <c r="F411" s="28" t="n"/>
      <c r="G411" s="28" t="n"/>
      <c r="H411" s="26" t="n"/>
      <c r="I411" s="10">
        <f>IF(H411&lt;&gt;"",H411,IF(AND(F411&lt;&gt;"",G411&lt;&gt;""),ROUND((G411-F411)*1440,0),""))</f>
        <v/>
      </c>
      <c r="J411" s="26" t="n"/>
      <c r="K411" s="9">
        <f>IF(D411="","",IFERROR(VLOOKUP(D411,参数!$A$5:$C$24,2,0),""))</f>
        <v/>
      </c>
      <c r="L411" s="9">
        <f>IF(D411="","",IFERROR(VLOOKUP(D411,参数!$A$5:$C$24,3,0),""))</f>
        <v/>
      </c>
      <c r="M411" s="21" t="n"/>
      <c r="N411" s="21" t="n"/>
      <c r="O411" s="21" t="n"/>
    </row>
    <row r="412">
      <c r="A412" s="24" t="n"/>
      <c r="B412" s="21" t="n"/>
      <c r="C412" s="21" t="n"/>
      <c r="D412" s="21" t="n"/>
      <c r="E412" s="21" t="n"/>
      <c r="F412" s="28" t="n"/>
      <c r="G412" s="28" t="n"/>
      <c r="H412" s="26" t="n"/>
      <c r="I412" s="10">
        <f>IF(H412&lt;&gt;"",H412,IF(AND(F412&lt;&gt;"",G412&lt;&gt;""),ROUND((G412-F412)*1440,0),""))</f>
        <v/>
      </c>
      <c r="J412" s="26" t="n"/>
      <c r="K412" s="9">
        <f>IF(D412="","",IFERROR(VLOOKUP(D412,参数!$A$5:$C$24,2,0),""))</f>
        <v/>
      </c>
      <c r="L412" s="9">
        <f>IF(D412="","",IFERROR(VLOOKUP(D412,参数!$A$5:$C$24,3,0),""))</f>
        <v/>
      </c>
      <c r="M412" s="21" t="n"/>
      <c r="N412" s="21" t="n"/>
      <c r="O412" s="21" t="n"/>
    </row>
    <row r="413">
      <c r="A413" s="24" t="n"/>
      <c r="B413" s="21" t="n"/>
      <c r="C413" s="21" t="n"/>
      <c r="D413" s="21" t="n"/>
      <c r="E413" s="21" t="n"/>
      <c r="F413" s="28" t="n"/>
      <c r="G413" s="28" t="n"/>
      <c r="H413" s="26" t="n"/>
      <c r="I413" s="10">
        <f>IF(H413&lt;&gt;"",H413,IF(AND(F413&lt;&gt;"",G413&lt;&gt;""),ROUND((G413-F413)*1440,0),""))</f>
        <v/>
      </c>
      <c r="J413" s="26" t="n"/>
      <c r="K413" s="9">
        <f>IF(D413="","",IFERROR(VLOOKUP(D413,参数!$A$5:$C$24,2,0),""))</f>
        <v/>
      </c>
      <c r="L413" s="9">
        <f>IF(D413="","",IFERROR(VLOOKUP(D413,参数!$A$5:$C$24,3,0),""))</f>
        <v/>
      </c>
      <c r="M413" s="21" t="n"/>
      <c r="N413" s="21" t="n"/>
      <c r="O413" s="21" t="n"/>
    </row>
    <row r="414">
      <c r="A414" s="24" t="n"/>
      <c r="B414" s="21" t="n"/>
      <c r="C414" s="21" t="n"/>
      <c r="D414" s="21" t="n"/>
      <c r="E414" s="21" t="n"/>
      <c r="F414" s="28" t="n"/>
      <c r="G414" s="28" t="n"/>
      <c r="H414" s="26" t="n"/>
      <c r="I414" s="10">
        <f>IF(H414&lt;&gt;"",H414,IF(AND(F414&lt;&gt;"",G414&lt;&gt;""),ROUND((G414-F414)*1440,0),""))</f>
        <v/>
      </c>
      <c r="J414" s="26" t="n"/>
      <c r="K414" s="9">
        <f>IF(D414="","",IFERROR(VLOOKUP(D414,参数!$A$5:$C$24,2,0),""))</f>
        <v/>
      </c>
      <c r="L414" s="9">
        <f>IF(D414="","",IFERROR(VLOOKUP(D414,参数!$A$5:$C$24,3,0),""))</f>
        <v/>
      </c>
      <c r="M414" s="21" t="n"/>
      <c r="N414" s="21" t="n"/>
      <c r="O414" s="21" t="n"/>
    </row>
    <row r="415">
      <c r="A415" s="24" t="n"/>
      <c r="B415" s="21" t="n"/>
      <c r="C415" s="21" t="n"/>
      <c r="D415" s="21" t="n"/>
      <c r="E415" s="21" t="n"/>
      <c r="F415" s="28" t="n"/>
      <c r="G415" s="28" t="n"/>
      <c r="H415" s="26" t="n"/>
      <c r="I415" s="10">
        <f>IF(H415&lt;&gt;"",H415,IF(AND(F415&lt;&gt;"",G415&lt;&gt;""),ROUND((G415-F415)*1440,0),""))</f>
        <v/>
      </c>
      <c r="J415" s="26" t="n"/>
      <c r="K415" s="9">
        <f>IF(D415="","",IFERROR(VLOOKUP(D415,参数!$A$5:$C$24,2,0),""))</f>
        <v/>
      </c>
      <c r="L415" s="9">
        <f>IF(D415="","",IFERROR(VLOOKUP(D415,参数!$A$5:$C$24,3,0),""))</f>
        <v/>
      </c>
      <c r="M415" s="21" t="n"/>
      <c r="N415" s="21" t="n"/>
      <c r="O415" s="21" t="n"/>
    </row>
    <row r="416">
      <c r="A416" s="24" t="n"/>
      <c r="B416" s="21" t="n"/>
      <c r="C416" s="21" t="n"/>
      <c r="D416" s="21" t="n"/>
      <c r="E416" s="21" t="n"/>
      <c r="F416" s="28" t="n"/>
      <c r="G416" s="28" t="n"/>
      <c r="H416" s="26" t="n"/>
      <c r="I416" s="10">
        <f>IF(H416&lt;&gt;"",H416,IF(AND(F416&lt;&gt;"",G416&lt;&gt;""),ROUND((G416-F416)*1440,0),""))</f>
        <v/>
      </c>
      <c r="J416" s="26" t="n"/>
      <c r="K416" s="9">
        <f>IF(D416="","",IFERROR(VLOOKUP(D416,参数!$A$5:$C$24,2,0),""))</f>
        <v/>
      </c>
      <c r="L416" s="9">
        <f>IF(D416="","",IFERROR(VLOOKUP(D416,参数!$A$5:$C$24,3,0),""))</f>
        <v/>
      </c>
      <c r="M416" s="21" t="n"/>
      <c r="N416" s="21" t="n"/>
      <c r="O416" s="21" t="n"/>
    </row>
    <row r="417">
      <c r="A417" s="24" t="n"/>
      <c r="B417" s="21" t="n"/>
      <c r="C417" s="21" t="n"/>
      <c r="D417" s="21" t="n"/>
      <c r="E417" s="21" t="n"/>
      <c r="F417" s="28" t="n"/>
      <c r="G417" s="28" t="n"/>
      <c r="H417" s="26" t="n"/>
      <c r="I417" s="10">
        <f>IF(H417&lt;&gt;"",H417,IF(AND(F417&lt;&gt;"",G417&lt;&gt;""),ROUND((G417-F417)*1440,0),""))</f>
        <v/>
      </c>
      <c r="J417" s="26" t="n"/>
      <c r="K417" s="9">
        <f>IF(D417="","",IFERROR(VLOOKUP(D417,参数!$A$5:$C$24,2,0),""))</f>
        <v/>
      </c>
      <c r="L417" s="9">
        <f>IF(D417="","",IFERROR(VLOOKUP(D417,参数!$A$5:$C$24,3,0),""))</f>
        <v/>
      </c>
      <c r="M417" s="21" t="n"/>
      <c r="N417" s="21" t="n"/>
      <c r="O417" s="21" t="n"/>
    </row>
    <row r="418">
      <c r="A418" s="24" t="n"/>
      <c r="B418" s="21" t="n"/>
      <c r="C418" s="21" t="n"/>
      <c r="D418" s="21" t="n"/>
      <c r="E418" s="21" t="n"/>
      <c r="F418" s="28" t="n"/>
      <c r="G418" s="28" t="n"/>
      <c r="H418" s="26" t="n"/>
      <c r="I418" s="10">
        <f>IF(H418&lt;&gt;"",H418,IF(AND(F418&lt;&gt;"",G418&lt;&gt;""),ROUND((G418-F418)*1440,0),""))</f>
        <v/>
      </c>
      <c r="J418" s="26" t="n"/>
      <c r="K418" s="9">
        <f>IF(D418="","",IFERROR(VLOOKUP(D418,参数!$A$5:$C$24,2,0),""))</f>
        <v/>
      </c>
      <c r="L418" s="9">
        <f>IF(D418="","",IFERROR(VLOOKUP(D418,参数!$A$5:$C$24,3,0),""))</f>
        <v/>
      </c>
      <c r="M418" s="21" t="n"/>
      <c r="N418" s="21" t="n"/>
      <c r="O418" s="21" t="n"/>
    </row>
    <row r="419">
      <c r="A419" s="24" t="n"/>
      <c r="B419" s="21" t="n"/>
      <c r="C419" s="21" t="n"/>
      <c r="D419" s="21" t="n"/>
      <c r="E419" s="21" t="n"/>
      <c r="F419" s="28" t="n"/>
      <c r="G419" s="28" t="n"/>
      <c r="H419" s="26" t="n"/>
      <c r="I419" s="10">
        <f>IF(H419&lt;&gt;"",H419,IF(AND(F419&lt;&gt;"",G419&lt;&gt;""),ROUND((G419-F419)*1440,0),""))</f>
        <v/>
      </c>
      <c r="J419" s="26" t="n"/>
      <c r="K419" s="9">
        <f>IF(D419="","",IFERROR(VLOOKUP(D419,参数!$A$5:$C$24,2,0),""))</f>
        <v/>
      </c>
      <c r="L419" s="9">
        <f>IF(D419="","",IFERROR(VLOOKUP(D419,参数!$A$5:$C$24,3,0),""))</f>
        <v/>
      </c>
      <c r="M419" s="21" t="n"/>
      <c r="N419" s="21" t="n"/>
      <c r="O419" s="21" t="n"/>
    </row>
    <row r="420">
      <c r="A420" s="24" t="n"/>
      <c r="B420" s="21" t="n"/>
      <c r="C420" s="21" t="n"/>
      <c r="D420" s="21" t="n"/>
      <c r="E420" s="21" t="n"/>
      <c r="F420" s="28" t="n"/>
      <c r="G420" s="28" t="n"/>
      <c r="H420" s="26" t="n"/>
      <c r="I420" s="10">
        <f>IF(H420&lt;&gt;"",H420,IF(AND(F420&lt;&gt;"",G420&lt;&gt;""),ROUND((G420-F420)*1440,0),""))</f>
        <v/>
      </c>
      <c r="J420" s="26" t="n"/>
      <c r="K420" s="9">
        <f>IF(D420="","",IFERROR(VLOOKUP(D420,参数!$A$5:$C$24,2,0),""))</f>
        <v/>
      </c>
      <c r="L420" s="9">
        <f>IF(D420="","",IFERROR(VLOOKUP(D420,参数!$A$5:$C$24,3,0),""))</f>
        <v/>
      </c>
      <c r="M420" s="21" t="n"/>
      <c r="N420" s="21" t="n"/>
      <c r="O420" s="21" t="n"/>
    </row>
    <row r="421">
      <c r="A421" s="24" t="n"/>
      <c r="B421" s="21" t="n"/>
      <c r="C421" s="21" t="n"/>
      <c r="D421" s="21" t="n"/>
      <c r="E421" s="21" t="n"/>
      <c r="F421" s="28" t="n"/>
      <c r="G421" s="28" t="n"/>
      <c r="H421" s="26" t="n"/>
      <c r="I421" s="10">
        <f>IF(H421&lt;&gt;"",H421,IF(AND(F421&lt;&gt;"",G421&lt;&gt;""),ROUND((G421-F421)*1440,0),""))</f>
        <v/>
      </c>
      <c r="J421" s="26" t="n"/>
      <c r="K421" s="9">
        <f>IF(D421="","",IFERROR(VLOOKUP(D421,参数!$A$5:$C$24,2,0),""))</f>
        <v/>
      </c>
      <c r="L421" s="9">
        <f>IF(D421="","",IFERROR(VLOOKUP(D421,参数!$A$5:$C$24,3,0),""))</f>
        <v/>
      </c>
      <c r="M421" s="21" t="n"/>
      <c r="N421" s="21" t="n"/>
      <c r="O421" s="21" t="n"/>
    </row>
    <row r="422">
      <c r="A422" s="24" t="n"/>
      <c r="B422" s="21" t="n"/>
      <c r="C422" s="21" t="n"/>
      <c r="D422" s="21" t="n"/>
      <c r="E422" s="21" t="n"/>
      <c r="F422" s="28" t="n"/>
      <c r="G422" s="28" t="n"/>
      <c r="H422" s="26" t="n"/>
      <c r="I422" s="10">
        <f>IF(H422&lt;&gt;"",H422,IF(AND(F422&lt;&gt;"",G422&lt;&gt;""),ROUND((G422-F422)*1440,0),""))</f>
        <v/>
      </c>
      <c r="J422" s="26" t="n"/>
      <c r="K422" s="9">
        <f>IF(D422="","",IFERROR(VLOOKUP(D422,参数!$A$5:$C$24,2,0),""))</f>
        <v/>
      </c>
      <c r="L422" s="9">
        <f>IF(D422="","",IFERROR(VLOOKUP(D422,参数!$A$5:$C$24,3,0),""))</f>
        <v/>
      </c>
      <c r="M422" s="21" t="n"/>
      <c r="N422" s="21" t="n"/>
      <c r="O422" s="21" t="n"/>
    </row>
    <row r="423">
      <c r="A423" s="24" t="n"/>
      <c r="B423" s="21" t="n"/>
      <c r="C423" s="21" t="n"/>
      <c r="D423" s="21" t="n"/>
      <c r="E423" s="21" t="n"/>
      <c r="F423" s="28" t="n"/>
      <c r="G423" s="28" t="n"/>
      <c r="H423" s="26" t="n"/>
      <c r="I423" s="10">
        <f>IF(H423&lt;&gt;"",H423,IF(AND(F423&lt;&gt;"",G423&lt;&gt;""),ROUND((G423-F423)*1440,0),""))</f>
        <v/>
      </c>
      <c r="J423" s="26" t="n"/>
      <c r="K423" s="9">
        <f>IF(D423="","",IFERROR(VLOOKUP(D423,参数!$A$5:$C$24,2,0),""))</f>
        <v/>
      </c>
      <c r="L423" s="9">
        <f>IF(D423="","",IFERROR(VLOOKUP(D423,参数!$A$5:$C$24,3,0),""))</f>
        <v/>
      </c>
      <c r="M423" s="21" t="n"/>
      <c r="N423" s="21" t="n"/>
      <c r="O423" s="21" t="n"/>
    </row>
    <row r="424">
      <c r="A424" s="24" t="n"/>
      <c r="B424" s="21" t="n"/>
      <c r="C424" s="21" t="n"/>
      <c r="D424" s="21" t="n"/>
      <c r="E424" s="21" t="n"/>
      <c r="F424" s="28" t="n"/>
      <c r="G424" s="28" t="n"/>
      <c r="H424" s="26" t="n"/>
      <c r="I424" s="10">
        <f>IF(H424&lt;&gt;"",H424,IF(AND(F424&lt;&gt;"",G424&lt;&gt;""),ROUND((G424-F424)*1440,0),""))</f>
        <v/>
      </c>
      <c r="J424" s="26" t="n"/>
      <c r="K424" s="9">
        <f>IF(D424="","",IFERROR(VLOOKUP(D424,参数!$A$5:$C$24,2,0),""))</f>
        <v/>
      </c>
      <c r="L424" s="9">
        <f>IF(D424="","",IFERROR(VLOOKUP(D424,参数!$A$5:$C$24,3,0),""))</f>
        <v/>
      </c>
      <c r="M424" s="21" t="n"/>
      <c r="N424" s="21" t="n"/>
      <c r="O424" s="21" t="n"/>
    </row>
    <row r="425">
      <c r="A425" s="24" t="n"/>
      <c r="B425" s="21" t="n"/>
      <c r="C425" s="21" t="n"/>
      <c r="D425" s="21" t="n"/>
      <c r="E425" s="21" t="n"/>
      <c r="F425" s="28" t="n"/>
      <c r="G425" s="28" t="n"/>
      <c r="H425" s="26" t="n"/>
      <c r="I425" s="10">
        <f>IF(H425&lt;&gt;"",H425,IF(AND(F425&lt;&gt;"",G425&lt;&gt;""),ROUND((G425-F425)*1440,0),""))</f>
        <v/>
      </c>
      <c r="J425" s="26" t="n"/>
      <c r="K425" s="9">
        <f>IF(D425="","",IFERROR(VLOOKUP(D425,参数!$A$5:$C$24,2,0),""))</f>
        <v/>
      </c>
      <c r="L425" s="9">
        <f>IF(D425="","",IFERROR(VLOOKUP(D425,参数!$A$5:$C$24,3,0),""))</f>
        <v/>
      </c>
      <c r="M425" s="21" t="n"/>
      <c r="N425" s="21" t="n"/>
      <c r="O425" s="21" t="n"/>
    </row>
    <row r="426">
      <c r="A426" s="24" t="n"/>
      <c r="B426" s="21" t="n"/>
      <c r="C426" s="21" t="n"/>
      <c r="D426" s="21" t="n"/>
      <c r="E426" s="21" t="n"/>
      <c r="F426" s="28" t="n"/>
      <c r="G426" s="28" t="n"/>
      <c r="H426" s="26" t="n"/>
      <c r="I426" s="10">
        <f>IF(H426&lt;&gt;"",H426,IF(AND(F426&lt;&gt;"",G426&lt;&gt;""),ROUND((G426-F426)*1440,0),""))</f>
        <v/>
      </c>
      <c r="J426" s="26" t="n"/>
      <c r="K426" s="9">
        <f>IF(D426="","",IFERROR(VLOOKUP(D426,参数!$A$5:$C$24,2,0),""))</f>
        <v/>
      </c>
      <c r="L426" s="9">
        <f>IF(D426="","",IFERROR(VLOOKUP(D426,参数!$A$5:$C$24,3,0),""))</f>
        <v/>
      </c>
      <c r="M426" s="21" t="n"/>
      <c r="N426" s="21" t="n"/>
      <c r="O426" s="21" t="n"/>
    </row>
    <row r="427">
      <c r="A427" s="24" t="n"/>
      <c r="B427" s="21" t="n"/>
      <c r="C427" s="21" t="n"/>
      <c r="D427" s="21" t="n"/>
      <c r="E427" s="21" t="n"/>
      <c r="F427" s="28" t="n"/>
      <c r="G427" s="28" t="n"/>
      <c r="H427" s="26" t="n"/>
      <c r="I427" s="10">
        <f>IF(H427&lt;&gt;"",H427,IF(AND(F427&lt;&gt;"",G427&lt;&gt;""),ROUND((G427-F427)*1440,0),""))</f>
        <v/>
      </c>
      <c r="J427" s="26" t="n"/>
      <c r="K427" s="9">
        <f>IF(D427="","",IFERROR(VLOOKUP(D427,参数!$A$5:$C$24,2,0),""))</f>
        <v/>
      </c>
      <c r="L427" s="9">
        <f>IF(D427="","",IFERROR(VLOOKUP(D427,参数!$A$5:$C$24,3,0),""))</f>
        <v/>
      </c>
      <c r="M427" s="21" t="n"/>
      <c r="N427" s="21" t="n"/>
      <c r="O427" s="21" t="n"/>
    </row>
    <row r="428">
      <c r="A428" s="24" t="n"/>
      <c r="B428" s="21" t="n"/>
      <c r="C428" s="21" t="n"/>
      <c r="D428" s="21" t="n"/>
      <c r="E428" s="21" t="n"/>
      <c r="F428" s="28" t="n"/>
      <c r="G428" s="28" t="n"/>
      <c r="H428" s="26" t="n"/>
      <c r="I428" s="10">
        <f>IF(H428&lt;&gt;"",H428,IF(AND(F428&lt;&gt;"",G428&lt;&gt;""),ROUND((G428-F428)*1440,0),""))</f>
        <v/>
      </c>
      <c r="J428" s="26" t="n"/>
      <c r="K428" s="9">
        <f>IF(D428="","",IFERROR(VLOOKUP(D428,参数!$A$5:$C$24,2,0),""))</f>
        <v/>
      </c>
      <c r="L428" s="9">
        <f>IF(D428="","",IFERROR(VLOOKUP(D428,参数!$A$5:$C$24,3,0),""))</f>
        <v/>
      </c>
      <c r="M428" s="21" t="n"/>
      <c r="N428" s="21" t="n"/>
      <c r="O428" s="21" t="n"/>
    </row>
    <row r="429">
      <c r="A429" s="24" t="n"/>
      <c r="B429" s="21" t="n"/>
      <c r="C429" s="21" t="n"/>
      <c r="D429" s="21" t="n"/>
      <c r="E429" s="21" t="n"/>
      <c r="F429" s="28" t="n"/>
      <c r="G429" s="28" t="n"/>
      <c r="H429" s="26" t="n"/>
      <c r="I429" s="10">
        <f>IF(H429&lt;&gt;"",H429,IF(AND(F429&lt;&gt;"",G429&lt;&gt;""),ROUND((G429-F429)*1440,0),""))</f>
        <v/>
      </c>
      <c r="J429" s="26" t="n"/>
      <c r="K429" s="9">
        <f>IF(D429="","",IFERROR(VLOOKUP(D429,参数!$A$5:$C$24,2,0),""))</f>
        <v/>
      </c>
      <c r="L429" s="9">
        <f>IF(D429="","",IFERROR(VLOOKUP(D429,参数!$A$5:$C$24,3,0),""))</f>
        <v/>
      </c>
      <c r="M429" s="21" t="n"/>
      <c r="N429" s="21" t="n"/>
      <c r="O429" s="21" t="n"/>
    </row>
    <row r="430">
      <c r="A430" s="24" t="n"/>
      <c r="B430" s="21" t="n"/>
      <c r="C430" s="21" t="n"/>
      <c r="D430" s="21" t="n"/>
      <c r="E430" s="21" t="n"/>
      <c r="F430" s="28" t="n"/>
      <c r="G430" s="28" t="n"/>
      <c r="H430" s="26" t="n"/>
      <c r="I430" s="10">
        <f>IF(H430&lt;&gt;"",H430,IF(AND(F430&lt;&gt;"",G430&lt;&gt;""),ROUND((G430-F430)*1440,0),""))</f>
        <v/>
      </c>
      <c r="J430" s="26" t="n"/>
      <c r="K430" s="9">
        <f>IF(D430="","",IFERROR(VLOOKUP(D430,参数!$A$5:$C$24,2,0),""))</f>
        <v/>
      </c>
      <c r="L430" s="9">
        <f>IF(D430="","",IFERROR(VLOOKUP(D430,参数!$A$5:$C$24,3,0),""))</f>
        <v/>
      </c>
      <c r="M430" s="21" t="n"/>
      <c r="N430" s="21" t="n"/>
      <c r="O430" s="21" t="n"/>
    </row>
    <row r="431">
      <c r="A431" s="24" t="n"/>
      <c r="B431" s="21" t="n"/>
      <c r="C431" s="21" t="n"/>
      <c r="D431" s="21" t="n"/>
      <c r="E431" s="21" t="n"/>
      <c r="F431" s="28" t="n"/>
      <c r="G431" s="28" t="n"/>
      <c r="H431" s="26" t="n"/>
      <c r="I431" s="10">
        <f>IF(H431&lt;&gt;"",H431,IF(AND(F431&lt;&gt;"",G431&lt;&gt;""),ROUND((G431-F431)*1440,0),""))</f>
        <v/>
      </c>
      <c r="J431" s="26" t="n"/>
      <c r="K431" s="9">
        <f>IF(D431="","",IFERROR(VLOOKUP(D431,参数!$A$5:$C$24,2,0),""))</f>
        <v/>
      </c>
      <c r="L431" s="9">
        <f>IF(D431="","",IFERROR(VLOOKUP(D431,参数!$A$5:$C$24,3,0),""))</f>
        <v/>
      </c>
      <c r="M431" s="21" t="n"/>
      <c r="N431" s="21" t="n"/>
      <c r="O431" s="21" t="n"/>
    </row>
    <row r="432">
      <c r="A432" s="24" t="n"/>
      <c r="B432" s="21" t="n"/>
      <c r="C432" s="21" t="n"/>
      <c r="D432" s="21" t="n"/>
      <c r="E432" s="21" t="n"/>
      <c r="F432" s="28" t="n"/>
      <c r="G432" s="28" t="n"/>
      <c r="H432" s="26" t="n"/>
      <c r="I432" s="10">
        <f>IF(H432&lt;&gt;"",H432,IF(AND(F432&lt;&gt;"",G432&lt;&gt;""),ROUND((G432-F432)*1440,0),""))</f>
        <v/>
      </c>
      <c r="J432" s="26" t="n"/>
      <c r="K432" s="9">
        <f>IF(D432="","",IFERROR(VLOOKUP(D432,参数!$A$5:$C$24,2,0),""))</f>
        <v/>
      </c>
      <c r="L432" s="9">
        <f>IF(D432="","",IFERROR(VLOOKUP(D432,参数!$A$5:$C$24,3,0),""))</f>
        <v/>
      </c>
      <c r="M432" s="21" t="n"/>
      <c r="N432" s="21" t="n"/>
      <c r="O432" s="21" t="n"/>
    </row>
    <row r="433">
      <c r="A433" s="24" t="n"/>
      <c r="B433" s="21" t="n"/>
      <c r="C433" s="21" t="n"/>
      <c r="D433" s="21" t="n"/>
      <c r="E433" s="21" t="n"/>
      <c r="F433" s="28" t="n"/>
      <c r="G433" s="28" t="n"/>
      <c r="H433" s="26" t="n"/>
      <c r="I433" s="10">
        <f>IF(H433&lt;&gt;"",H433,IF(AND(F433&lt;&gt;"",G433&lt;&gt;""),ROUND((G433-F433)*1440,0),""))</f>
        <v/>
      </c>
      <c r="J433" s="26" t="n"/>
      <c r="K433" s="9">
        <f>IF(D433="","",IFERROR(VLOOKUP(D433,参数!$A$5:$C$24,2,0),""))</f>
        <v/>
      </c>
      <c r="L433" s="9">
        <f>IF(D433="","",IFERROR(VLOOKUP(D433,参数!$A$5:$C$24,3,0),""))</f>
        <v/>
      </c>
      <c r="M433" s="21" t="n"/>
      <c r="N433" s="21" t="n"/>
      <c r="O433" s="21" t="n"/>
    </row>
    <row r="434">
      <c r="A434" s="24" t="n"/>
      <c r="B434" s="21" t="n"/>
      <c r="C434" s="21" t="n"/>
      <c r="D434" s="21" t="n"/>
      <c r="E434" s="21" t="n"/>
      <c r="F434" s="28" t="n"/>
      <c r="G434" s="28" t="n"/>
      <c r="H434" s="26" t="n"/>
      <c r="I434" s="10">
        <f>IF(H434&lt;&gt;"",H434,IF(AND(F434&lt;&gt;"",G434&lt;&gt;""),ROUND((G434-F434)*1440,0),""))</f>
        <v/>
      </c>
      <c r="J434" s="26" t="n"/>
      <c r="K434" s="9">
        <f>IF(D434="","",IFERROR(VLOOKUP(D434,参数!$A$5:$C$24,2,0),""))</f>
        <v/>
      </c>
      <c r="L434" s="9">
        <f>IF(D434="","",IFERROR(VLOOKUP(D434,参数!$A$5:$C$24,3,0),""))</f>
        <v/>
      </c>
      <c r="M434" s="21" t="n"/>
      <c r="N434" s="21" t="n"/>
      <c r="O434" s="21" t="n"/>
    </row>
    <row r="435">
      <c r="A435" s="24" t="n"/>
      <c r="B435" s="21" t="n"/>
      <c r="C435" s="21" t="n"/>
      <c r="D435" s="21" t="n"/>
      <c r="E435" s="21" t="n"/>
      <c r="F435" s="28" t="n"/>
      <c r="G435" s="28" t="n"/>
      <c r="H435" s="26" t="n"/>
      <c r="I435" s="10">
        <f>IF(H435&lt;&gt;"",H435,IF(AND(F435&lt;&gt;"",G435&lt;&gt;""),ROUND((G435-F435)*1440,0),""))</f>
        <v/>
      </c>
      <c r="J435" s="26" t="n"/>
      <c r="K435" s="9">
        <f>IF(D435="","",IFERROR(VLOOKUP(D435,参数!$A$5:$C$24,2,0),""))</f>
        <v/>
      </c>
      <c r="L435" s="9">
        <f>IF(D435="","",IFERROR(VLOOKUP(D435,参数!$A$5:$C$24,3,0),""))</f>
        <v/>
      </c>
      <c r="M435" s="21" t="n"/>
      <c r="N435" s="21" t="n"/>
      <c r="O435" s="21" t="n"/>
    </row>
    <row r="436">
      <c r="A436" s="24" t="n"/>
      <c r="B436" s="21" t="n"/>
      <c r="C436" s="21" t="n"/>
      <c r="D436" s="21" t="n"/>
      <c r="E436" s="21" t="n"/>
      <c r="F436" s="28" t="n"/>
      <c r="G436" s="28" t="n"/>
      <c r="H436" s="26" t="n"/>
      <c r="I436" s="10">
        <f>IF(H436&lt;&gt;"",H436,IF(AND(F436&lt;&gt;"",G436&lt;&gt;""),ROUND((G436-F436)*1440,0),""))</f>
        <v/>
      </c>
      <c r="J436" s="26" t="n"/>
      <c r="K436" s="9">
        <f>IF(D436="","",IFERROR(VLOOKUP(D436,参数!$A$5:$C$24,2,0),""))</f>
        <v/>
      </c>
      <c r="L436" s="9">
        <f>IF(D436="","",IFERROR(VLOOKUP(D436,参数!$A$5:$C$24,3,0),""))</f>
        <v/>
      </c>
      <c r="M436" s="21" t="n"/>
      <c r="N436" s="21" t="n"/>
      <c r="O436" s="21" t="n"/>
    </row>
    <row r="437">
      <c r="A437" s="24" t="n"/>
      <c r="B437" s="21" t="n"/>
      <c r="C437" s="21" t="n"/>
      <c r="D437" s="21" t="n"/>
      <c r="E437" s="21" t="n"/>
      <c r="F437" s="28" t="n"/>
      <c r="G437" s="28" t="n"/>
      <c r="H437" s="26" t="n"/>
      <c r="I437" s="10">
        <f>IF(H437&lt;&gt;"",H437,IF(AND(F437&lt;&gt;"",G437&lt;&gt;""),ROUND((G437-F437)*1440,0),""))</f>
        <v/>
      </c>
      <c r="J437" s="26" t="n"/>
      <c r="K437" s="9">
        <f>IF(D437="","",IFERROR(VLOOKUP(D437,参数!$A$5:$C$24,2,0),""))</f>
        <v/>
      </c>
      <c r="L437" s="9">
        <f>IF(D437="","",IFERROR(VLOOKUP(D437,参数!$A$5:$C$24,3,0),""))</f>
        <v/>
      </c>
      <c r="M437" s="21" t="n"/>
      <c r="N437" s="21" t="n"/>
      <c r="O437" s="21" t="n"/>
    </row>
    <row r="438">
      <c r="A438" s="24" t="n"/>
      <c r="B438" s="21" t="n"/>
      <c r="C438" s="21" t="n"/>
      <c r="D438" s="21" t="n"/>
      <c r="E438" s="21" t="n"/>
      <c r="F438" s="28" t="n"/>
      <c r="G438" s="28" t="n"/>
      <c r="H438" s="26" t="n"/>
      <c r="I438" s="10">
        <f>IF(H438&lt;&gt;"",H438,IF(AND(F438&lt;&gt;"",G438&lt;&gt;""),ROUND((G438-F438)*1440,0),""))</f>
        <v/>
      </c>
      <c r="J438" s="26" t="n"/>
      <c r="K438" s="9">
        <f>IF(D438="","",IFERROR(VLOOKUP(D438,参数!$A$5:$C$24,2,0),""))</f>
        <v/>
      </c>
      <c r="L438" s="9">
        <f>IF(D438="","",IFERROR(VLOOKUP(D438,参数!$A$5:$C$24,3,0),""))</f>
        <v/>
      </c>
      <c r="M438" s="21" t="n"/>
      <c r="N438" s="21" t="n"/>
      <c r="O438" s="21" t="n"/>
    </row>
    <row r="439">
      <c r="A439" s="24" t="n"/>
      <c r="B439" s="21" t="n"/>
      <c r="C439" s="21" t="n"/>
      <c r="D439" s="21" t="n"/>
      <c r="E439" s="21" t="n"/>
      <c r="F439" s="28" t="n"/>
      <c r="G439" s="28" t="n"/>
      <c r="H439" s="26" t="n"/>
      <c r="I439" s="10">
        <f>IF(H439&lt;&gt;"",H439,IF(AND(F439&lt;&gt;"",G439&lt;&gt;""),ROUND((G439-F439)*1440,0),""))</f>
        <v/>
      </c>
      <c r="J439" s="26" t="n"/>
      <c r="K439" s="9">
        <f>IF(D439="","",IFERROR(VLOOKUP(D439,参数!$A$5:$C$24,2,0),""))</f>
        <v/>
      </c>
      <c r="L439" s="9">
        <f>IF(D439="","",IFERROR(VLOOKUP(D439,参数!$A$5:$C$24,3,0),""))</f>
        <v/>
      </c>
      <c r="M439" s="21" t="n"/>
      <c r="N439" s="21" t="n"/>
      <c r="O439" s="21" t="n"/>
    </row>
    <row r="440">
      <c r="A440" s="24" t="n"/>
      <c r="B440" s="21" t="n"/>
      <c r="C440" s="21" t="n"/>
      <c r="D440" s="21" t="n"/>
      <c r="E440" s="21" t="n"/>
      <c r="F440" s="28" t="n"/>
      <c r="G440" s="28" t="n"/>
      <c r="H440" s="26" t="n"/>
      <c r="I440" s="10">
        <f>IF(H440&lt;&gt;"",H440,IF(AND(F440&lt;&gt;"",G440&lt;&gt;""),ROUND((G440-F440)*1440,0),""))</f>
        <v/>
      </c>
      <c r="J440" s="26" t="n"/>
      <c r="K440" s="9">
        <f>IF(D440="","",IFERROR(VLOOKUP(D440,参数!$A$5:$C$24,2,0),""))</f>
        <v/>
      </c>
      <c r="L440" s="9">
        <f>IF(D440="","",IFERROR(VLOOKUP(D440,参数!$A$5:$C$24,3,0),""))</f>
        <v/>
      </c>
      <c r="M440" s="21" t="n"/>
      <c r="N440" s="21" t="n"/>
      <c r="O440" s="21" t="n"/>
    </row>
    <row r="441">
      <c r="A441" s="24" t="n"/>
      <c r="B441" s="21" t="n"/>
      <c r="C441" s="21" t="n"/>
      <c r="D441" s="21" t="n"/>
      <c r="E441" s="21" t="n"/>
      <c r="F441" s="28" t="n"/>
      <c r="G441" s="28" t="n"/>
      <c r="H441" s="26" t="n"/>
      <c r="I441" s="10">
        <f>IF(H441&lt;&gt;"",H441,IF(AND(F441&lt;&gt;"",G441&lt;&gt;""),ROUND((G441-F441)*1440,0),""))</f>
        <v/>
      </c>
      <c r="J441" s="26" t="n"/>
      <c r="K441" s="9">
        <f>IF(D441="","",IFERROR(VLOOKUP(D441,参数!$A$5:$C$24,2,0),""))</f>
        <v/>
      </c>
      <c r="L441" s="9">
        <f>IF(D441="","",IFERROR(VLOOKUP(D441,参数!$A$5:$C$24,3,0),""))</f>
        <v/>
      </c>
      <c r="M441" s="21" t="n"/>
      <c r="N441" s="21" t="n"/>
      <c r="O441" s="21" t="n"/>
    </row>
    <row r="442">
      <c r="A442" s="24" t="n"/>
      <c r="B442" s="21" t="n"/>
      <c r="C442" s="21" t="n"/>
      <c r="D442" s="21" t="n"/>
      <c r="E442" s="21" t="n"/>
      <c r="F442" s="28" t="n"/>
      <c r="G442" s="28" t="n"/>
      <c r="H442" s="26" t="n"/>
      <c r="I442" s="10">
        <f>IF(H442&lt;&gt;"",H442,IF(AND(F442&lt;&gt;"",G442&lt;&gt;""),ROUND((G442-F442)*1440,0),""))</f>
        <v/>
      </c>
      <c r="J442" s="26" t="n"/>
      <c r="K442" s="9">
        <f>IF(D442="","",IFERROR(VLOOKUP(D442,参数!$A$5:$C$24,2,0),""))</f>
        <v/>
      </c>
      <c r="L442" s="9">
        <f>IF(D442="","",IFERROR(VLOOKUP(D442,参数!$A$5:$C$24,3,0),""))</f>
        <v/>
      </c>
      <c r="M442" s="21" t="n"/>
      <c r="N442" s="21" t="n"/>
      <c r="O442" s="21" t="n"/>
    </row>
    <row r="443">
      <c r="A443" s="24" t="n"/>
      <c r="B443" s="21" t="n"/>
      <c r="C443" s="21" t="n"/>
      <c r="D443" s="21" t="n"/>
      <c r="E443" s="21" t="n"/>
      <c r="F443" s="28" t="n"/>
      <c r="G443" s="28" t="n"/>
      <c r="H443" s="26" t="n"/>
      <c r="I443" s="10">
        <f>IF(H443&lt;&gt;"",H443,IF(AND(F443&lt;&gt;"",G443&lt;&gt;""),ROUND((G443-F443)*1440,0),""))</f>
        <v/>
      </c>
      <c r="J443" s="26" t="n"/>
      <c r="K443" s="9">
        <f>IF(D443="","",IFERROR(VLOOKUP(D443,参数!$A$5:$C$24,2,0),""))</f>
        <v/>
      </c>
      <c r="L443" s="9">
        <f>IF(D443="","",IFERROR(VLOOKUP(D443,参数!$A$5:$C$24,3,0),""))</f>
        <v/>
      </c>
      <c r="M443" s="21" t="n"/>
      <c r="N443" s="21" t="n"/>
      <c r="O443" s="21" t="n"/>
    </row>
    <row r="444">
      <c r="A444" s="24" t="n"/>
      <c r="B444" s="21" t="n"/>
      <c r="C444" s="21" t="n"/>
      <c r="D444" s="21" t="n"/>
      <c r="E444" s="21" t="n"/>
      <c r="F444" s="28" t="n"/>
      <c r="G444" s="28" t="n"/>
      <c r="H444" s="26" t="n"/>
      <c r="I444" s="10">
        <f>IF(H444&lt;&gt;"",H444,IF(AND(F444&lt;&gt;"",G444&lt;&gt;""),ROUND((G444-F444)*1440,0),""))</f>
        <v/>
      </c>
      <c r="J444" s="26" t="n"/>
      <c r="K444" s="9">
        <f>IF(D444="","",IFERROR(VLOOKUP(D444,参数!$A$5:$C$24,2,0),""))</f>
        <v/>
      </c>
      <c r="L444" s="9">
        <f>IF(D444="","",IFERROR(VLOOKUP(D444,参数!$A$5:$C$24,3,0),""))</f>
        <v/>
      </c>
      <c r="M444" s="21" t="n"/>
      <c r="N444" s="21" t="n"/>
      <c r="O444" s="21" t="n"/>
    </row>
    <row r="445">
      <c r="A445" s="24" t="n"/>
      <c r="B445" s="21" t="n"/>
      <c r="C445" s="21" t="n"/>
      <c r="D445" s="21" t="n"/>
      <c r="E445" s="21" t="n"/>
      <c r="F445" s="28" t="n"/>
      <c r="G445" s="28" t="n"/>
      <c r="H445" s="26" t="n"/>
      <c r="I445" s="10">
        <f>IF(H445&lt;&gt;"",H445,IF(AND(F445&lt;&gt;"",G445&lt;&gt;""),ROUND((G445-F445)*1440,0),""))</f>
        <v/>
      </c>
      <c r="J445" s="26" t="n"/>
      <c r="K445" s="9">
        <f>IF(D445="","",IFERROR(VLOOKUP(D445,参数!$A$5:$C$24,2,0),""))</f>
        <v/>
      </c>
      <c r="L445" s="9">
        <f>IF(D445="","",IFERROR(VLOOKUP(D445,参数!$A$5:$C$24,3,0),""))</f>
        <v/>
      </c>
      <c r="M445" s="21" t="n"/>
      <c r="N445" s="21" t="n"/>
      <c r="O445" s="21" t="n"/>
    </row>
    <row r="446">
      <c r="A446" s="24" t="n"/>
      <c r="B446" s="21" t="n"/>
      <c r="C446" s="21" t="n"/>
      <c r="D446" s="21" t="n"/>
      <c r="E446" s="21" t="n"/>
      <c r="F446" s="28" t="n"/>
      <c r="G446" s="28" t="n"/>
      <c r="H446" s="26" t="n"/>
      <c r="I446" s="10">
        <f>IF(H446&lt;&gt;"",H446,IF(AND(F446&lt;&gt;"",G446&lt;&gt;""),ROUND((G446-F446)*1440,0),""))</f>
        <v/>
      </c>
      <c r="J446" s="26" t="n"/>
      <c r="K446" s="9">
        <f>IF(D446="","",IFERROR(VLOOKUP(D446,参数!$A$5:$C$24,2,0),""))</f>
        <v/>
      </c>
      <c r="L446" s="9">
        <f>IF(D446="","",IFERROR(VLOOKUP(D446,参数!$A$5:$C$24,3,0),""))</f>
        <v/>
      </c>
      <c r="M446" s="21" t="n"/>
      <c r="N446" s="21" t="n"/>
      <c r="O446" s="21" t="n"/>
    </row>
    <row r="447">
      <c r="A447" s="24" t="n"/>
      <c r="B447" s="21" t="n"/>
      <c r="C447" s="21" t="n"/>
      <c r="D447" s="21" t="n"/>
      <c r="E447" s="21" t="n"/>
      <c r="F447" s="28" t="n"/>
      <c r="G447" s="28" t="n"/>
      <c r="H447" s="26" t="n"/>
      <c r="I447" s="10">
        <f>IF(H447&lt;&gt;"",H447,IF(AND(F447&lt;&gt;"",G447&lt;&gt;""),ROUND((G447-F447)*1440,0),""))</f>
        <v/>
      </c>
      <c r="J447" s="26" t="n"/>
      <c r="K447" s="9">
        <f>IF(D447="","",IFERROR(VLOOKUP(D447,参数!$A$5:$C$24,2,0),""))</f>
        <v/>
      </c>
      <c r="L447" s="9">
        <f>IF(D447="","",IFERROR(VLOOKUP(D447,参数!$A$5:$C$24,3,0),""))</f>
        <v/>
      </c>
      <c r="M447" s="21" t="n"/>
      <c r="N447" s="21" t="n"/>
      <c r="O447" s="21" t="n"/>
    </row>
    <row r="448">
      <c r="A448" s="24" t="n"/>
      <c r="B448" s="21" t="n"/>
      <c r="C448" s="21" t="n"/>
      <c r="D448" s="21" t="n"/>
      <c r="E448" s="21" t="n"/>
      <c r="F448" s="28" t="n"/>
      <c r="G448" s="28" t="n"/>
      <c r="H448" s="26" t="n"/>
      <c r="I448" s="10">
        <f>IF(H448&lt;&gt;"",H448,IF(AND(F448&lt;&gt;"",G448&lt;&gt;""),ROUND((G448-F448)*1440,0),""))</f>
        <v/>
      </c>
      <c r="J448" s="26" t="n"/>
      <c r="K448" s="9">
        <f>IF(D448="","",IFERROR(VLOOKUP(D448,参数!$A$5:$C$24,2,0),""))</f>
        <v/>
      </c>
      <c r="L448" s="9">
        <f>IF(D448="","",IFERROR(VLOOKUP(D448,参数!$A$5:$C$24,3,0),""))</f>
        <v/>
      </c>
      <c r="M448" s="21" t="n"/>
      <c r="N448" s="21" t="n"/>
      <c r="O448" s="21" t="n"/>
    </row>
    <row r="449">
      <c r="A449" s="24" t="n"/>
      <c r="B449" s="21" t="n"/>
      <c r="C449" s="21" t="n"/>
      <c r="D449" s="21" t="n"/>
      <c r="E449" s="21" t="n"/>
      <c r="F449" s="28" t="n"/>
      <c r="G449" s="28" t="n"/>
      <c r="H449" s="26" t="n"/>
      <c r="I449" s="10">
        <f>IF(H449&lt;&gt;"",H449,IF(AND(F449&lt;&gt;"",G449&lt;&gt;""),ROUND((G449-F449)*1440,0),""))</f>
        <v/>
      </c>
      <c r="J449" s="26" t="n"/>
      <c r="K449" s="9">
        <f>IF(D449="","",IFERROR(VLOOKUP(D449,参数!$A$5:$C$24,2,0),""))</f>
        <v/>
      </c>
      <c r="L449" s="9">
        <f>IF(D449="","",IFERROR(VLOOKUP(D449,参数!$A$5:$C$24,3,0),""))</f>
        <v/>
      </c>
      <c r="M449" s="21" t="n"/>
      <c r="N449" s="21" t="n"/>
      <c r="O449" s="21" t="n"/>
    </row>
    <row r="450">
      <c r="A450" s="24" t="n"/>
      <c r="B450" s="21" t="n"/>
      <c r="C450" s="21" t="n"/>
      <c r="D450" s="21" t="n"/>
      <c r="E450" s="21" t="n"/>
      <c r="F450" s="28" t="n"/>
      <c r="G450" s="28" t="n"/>
      <c r="H450" s="26" t="n"/>
      <c r="I450" s="10">
        <f>IF(H450&lt;&gt;"",H450,IF(AND(F450&lt;&gt;"",G450&lt;&gt;""),ROUND((G450-F450)*1440,0),""))</f>
        <v/>
      </c>
      <c r="J450" s="26" t="n"/>
      <c r="K450" s="9">
        <f>IF(D450="","",IFERROR(VLOOKUP(D450,参数!$A$5:$C$24,2,0),""))</f>
        <v/>
      </c>
      <c r="L450" s="9">
        <f>IF(D450="","",IFERROR(VLOOKUP(D450,参数!$A$5:$C$24,3,0),""))</f>
        <v/>
      </c>
      <c r="M450" s="21" t="n"/>
      <c r="N450" s="21" t="n"/>
      <c r="O450" s="21" t="n"/>
    </row>
    <row r="451">
      <c r="A451" s="24" t="n"/>
      <c r="B451" s="21" t="n"/>
      <c r="C451" s="21" t="n"/>
      <c r="D451" s="21" t="n"/>
      <c r="E451" s="21" t="n"/>
      <c r="F451" s="28" t="n"/>
      <c r="G451" s="28" t="n"/>
      <c r="H451" s="26" t="n"/>
      <c r="I451" s="10">
        <f>IF(H451&lt;&gt;"",H451,IF(AND(F451&lt;&gt;"",G451&lt;&gt;""),ROUND((G451-F451)*1440,0),""))</f>
        <v/>
      </c>
      <c r="J451" s="26" t="n"/>
      <c r="K451" s="9">
        <f>IF(D451="","",IFERROR(VLOOKUP(D451,参数!$A$5:$C$24,2,0),""))</f>
        <v/>
      </c>
      <c r="L451" s="9">
        <f>IF(D451="","",IFERROR(VLOOKUP(D451,参数!$A$5:$C$24,3,0),""))</f>
        <v/>
      </c>
      <c r="M451" s="21" t="n"/>
      <c r="N451" s="21" t="n"/>
      <c r="O451" s="21" t="n"/>
    </row>
    <row r="452">
      <c r="A452" s="24" t="n"/>
      <c r="B452" s="21" t="n"/>
      <c r="C452" s="21" t="n"/>
      <c r="D452" s="21" t="n"/>
      <c r="E452" s="21" t="n"/>
      <c r="F452" s="28" t="n"/>
      <c r="G452" s="28" t="n"/>
      <c r="H452" s="26" t="n"/>
      <c r="I452" s="10">
        <f>IF(H452&lt;&gt;"",H452,IF(AND(F452&lt;&gt;"",G452&lt;&gt;""),ROUND((G452-F452)*1440,0),""))</f>
        <v/>
      </c>
      <c r="J452" s="26" t="n"/>
      <c r="K452" s="9">
        <f>IF(D452="","",IFERROR(VLOOKUP(D452,参数!$A$5:$C$24,2,0),""))</f>
        <v/>
      </c>
      <c r="L452" s="9">
        <f>IF(D452="","",IFERROR(VLOOKUP(D452,参数!$A$5:$C$24,3,0),""))</f>
        <v/>
      </c>
      <c r="M452" s="21" t="n"/>
      <c r="N452" s="21" t="n"/>
      <c r="O452" s="21" t="n"/>
    </row>
    <row r="453">
      <c r="A453" s="24" t="n"/>
      <c r="B453" s="21" t="n"/>
      <c r="C453" s="21" t="n"/>
      <c r="D453" s="21" t="n"/>
      <c r="E453" s="21" t="n"/>
      <c r="F453" s="28" t="n"/>
      <c r="G453" s="28" t="n"/>
      <c r="H453" s="26" t="n"/>
      <c r="I453" s="10">
        <f>IF(H453&lt;&gt;"",H453,IF(AND(F453&lt;&gt;"",G453&lt;&gt;""),ROUND((G453-F453)*1440,0),""))</f>
        <v/>
      </c>
      <c r="J453" s="26" t="n"/>
      <c r="K453" s="9">
        <f>IF(D453="","",IFERROR(VLOOKUP(D453,参数!$A$5:$C$24,2,0),""))</f>
        <v/>
      </c>
      <c r="L453" s="9">
        <f>IF(D453="","",IFERROR(VLOOKUP(D453,参数!$A$5:$C$24,3,0),""))</f>
        <v/>
      </c>
      <c r="M453" s="21" t="n"/>
      <c r="N453" s="21" t="n"/>
      <c r="O453" s="21" t="n"/>
    </row>
    <row r="454">
      <c r="A454" s="24" t="n"/>
      <c r="B454" s="21" t="n"/>
      <c r="C454" s="21" t="n"/>
      <c r="D454" s="21" t="n"/>
      <c r="E454" s="21" t="n"/>
      <c r="F454" s="28" t="n"/>
      <c r="G454" s="28" t="n"/>
      <c r="H454" s="26" t="n"/>
      <c r="I454" s="10">
        <f>IF(H454&lt;&gt;"",H454,IF(AND(F454&lt;&gt;"",G454&lt;&gt;""),ROUND((G454-F454)*1440,0),""))</f>
        <v/>
      </c>
      <c r="J454" s="26" t="n"/>
      <c r="K454" s="9">
        <f>IF(D454="","",IFERROR(VLOOKUP(D454,参数!$A$5:$C$24,2,0),""))</f>
        <v/>
      </c>
      <c r="L454" s="9">
        <f>IF(D454="","",IFERROR(VLOOKUP(D454,参数!$A$5:$C$24,3,0),""))</f>
        <v/>
      </c>
      <c r="M454" s="21" t="n"/>
      <c r="N454" s="21" t="n"/>
      <c r="O454" s="21" t="n"/>
    </row>
    <row r="455">
      <c r="A455" s="24" t="n"/>
      <c r="B455" s="21" t="n"/>
      <c r="C455" s="21" t="n"/>
      <c r="D455" s="21" t="n"/>
      <c r="E455" s="21" t="n"/>
      <c r="F455" s="28" t="n"/>
      <c r="G455" s="28" t="n"/>
      <c r="H455" s="26" t="n"/>
      <c r="I455" s="10">
        <f>IF(H455&lt;&gt;"",H455,IF(AND(F455&lt;&gt;"",G455&lt;&gt;""),ROUND((G455-F455)*1440,0),""))</f>
        <v/>
      </c>
      <c r="J455" s="26" t="n"/>
      <c r="K455" s="9">
        <f>IF(D455="","",IFERROR(VLOOKUP(D455,参数!$A$5:$C$24,2,0),""))</f>
        <v/>
      </c>
      <c r="L455" s="9">
        <f>IF(D455="","",IFERROR(VLOOKUP(D455,参数!$A$5:$C$24,3,0),""))</f>
        <v/>
      </c>
      <c r="M455" s="21" t="n"/>
      <c r="N455" s="21" t="n"/>
      <c r="O455" s="21" t="n"/>
    </row>
    <row r="456">
      <c r="A456" s="24" t="n"/>
      <c r="B456" s="21" t="n"/>
      <c r="C456" s="21" t="n"/>
      <c r="D456" s="21" t="n"/>
      <c r="E456" s="21" t="n"/>
      <c r="F456" s="28" t="n"/>
      <c r="G456" s="28" t="n"/>
      <c r="H456" s="26" t="n"/>
      <c r="I456" s="10">
        <f>IF(H456&lt;&gt;"",H456,IF(AND(F456&lt;&gt;"",G456&lt;&gt;""),ROUND((G456-F456)*1440,0),""))</f>
        <v/>
      </c>
      <c r="J456" s="26" t="n"/>
      <c r="K456" s="9">
        <f>IF(D456="","",IFERROR(VLOOKUP(D456,参数!$A$5:$C$24,2,0),""))</f>
        <v/>
      </c>
      <c r="L456" s="9">
        <f>IF(D456="","",IFERROR(VLOOKUP(D456,参数!$A$5:$C$24,3,0),""))</f>
        <v/>
      </c>
      <c r="M456" s="21" t="n"/>
      <c r="N456" s="21" t="n"/>
      <c r="O456" s="21" t="n"/>
    </row>
    <row r="457">
      <c r="A457" s="24" t="n"/>
      <c r="B457" s="21" t="n"/>
      <c r="C457" s="21" t="n"/>
      <c r="D457" s="21" t="n"/>
      <c r="E457" s="21" t="n"/>
      <c r="F457" s="28" t="n"/>
      <c r="G457" s="28" t="n"/>
      <c r="H457" s="26" t="n"/>
      <c r="I457" s="10">
        <f>IF(H457&lt;&gt;"",H457,IF(AND(F457&lt;&gt;"",G457&lt;&gt;""),ROUND((G457-F457)*1440,0),""))</f>
        <v/>
      </c>
      <c r="J457" s="26" t="n"/>
      <c r="K457" s="9">
        <f>IF(D457="","",IFERROR(VLOOKUP(D457,参数!$A$5:$C$24,2,0),""))</f>
        <v/>
      </c>
      <c r="L457" s="9">
        <f>IF(D457="","",IFERROR(VLOOKUP(D457,参数!$A$5:$C$24,3,0),""))</f>
        <v/>
      </c>
      <c r="M457" s="21" t="n"/>
      <c r="N457" s="21" t="n"/>
      <c r="O457" s="21" t="n"/>
    </row>
    <row r="458">
      <c r="A458" s="24" t="n"/>
      <c r="B458" s="21" t="n"/>
      <c r="C458" s="21" t="n"/>
      <c r="D458" s="21" t="n"/>
      <c r="E458" s="21" t="n"/>
      <c r="F458" s="28" t="n"/>
      <c r="G458" s="28" t="n"/>
      <c r="H458" s="26" t="n"/>
      <c r="I458" s="10">
        <f>IF(H458&lt;&gt;"",H458,IF(AND(F458&lt;&gt;"",G458&lt;&gt;""),ROUND((G458-F458)*1440,0),""))</f>
        <v/>
      </c>
      <c r="J458" s="26" t="n"/>
      <c r="K458" s="9">
        <f>IF(D458="","",IFERROR(VLOOKUP(D458,参数!$A$5:$C$24,2,0),""))</f>
        <v/>
      </c>
      <c r="L458" s="9">
        <f>IF(D458="","",IFERROR(VLOOKUP(D458,参数!$A$5:$C$24,3,0),""))</f>
        <v/>
      </c>
      <c r="M458" s="21" t="n"/>
      <c r="N458" s="21" t="n"/>
      <c r="O458" s="21" t="n"/>
    </row>
    <row r="459">
      <c r="A459" s="24" t="n"/>
      <c r="B459" s="21" t="n"/>
      <c r="C459" s="21" t="n"/>
      <c r="D459" s="21" t="n"/>
      <c r="E459" s="21" t="n"/>
      <c r="F459" s="28" t="n"/>
      <c r="G459" s="28" t="n"/>
      <c r="H459" s="26" t="n"/>
      <c r="I459" s="10">
        <f>IF(H459&lt;&gt;"",H459,IF(AND(F459&lt;&gt;"",G459&lt;&gt;""),ROUND((G459-F459)*1440,0),""))</f>
        <v/>
      </c>
      <c r="J459" s="26" t="n"/>
      <c r="K459" s="9">
        <f>IF(D459="","",IFERROR(VLOOKUP(D459,参数!$A$5:$C$24,2,0),""))</f>
        <v/>
      </c>
      <c r="L459" s="9">
        <f>IF(D459="","",IFERROR(VLOOKUP(D459,参数!$A$5:$C$24,3,0),""))</f>
        <v/>
      </c>
      <c r="M459" s="21" t="n"/>
      <c r="N459" s="21" t="n"/>
      <c r="O459" s="21" t="n"/>
    </row>
    <row r="460">
      <c r="A460" s="24" t="n"/>
      <c r="B460" s="21" t="n"/>
      <c r="C460" s="21" t="n"/>
      <c r="D460" s="21" t="n"/>
      <c r="E460" s="21" t="n"/>
      <c r="F460" s="28" t="n"/>
      <c r="G460" s="28" t="n"/>
      <c r="H460" s="26" t="n"/>
      <c r="I460" s="10">
        <f>IF(H460&lt;&gt;"",H460,IF(AND(F460&lt;&gt;"",G460&lt;&gt;""),ROUND((G460-F460)*1440,0),""))</f>
        <v/>
      </c>
      <c r="J460" s="26" t="n"/>
      <c r="K460" s="9">
        <f>IF(D460="","",IFERROR(VLOOKUP(D460,参数!$A$5:$C$24,2,0),""))</f>
        <v/>
      </c>
      <c r="L460" s="9">
        <f>IF(D460="","",IFERROR(VLOOKUP(D460,参数!$A$5:$C$24,3,0),""))</f>
        <v/>
      </c>
      <c r="M460" s="21" t="n"/>
      <c r="N460" s="21" t="n"/>
      <c r="O460" s="21" t="n"/>
    </row>
    <row r="461">
      <c r="A461" s="24" t="n"/>
      <c r="B461" s="21" t="n"/>
      <c r="C461" s="21" t="n"/>
      <c r="D461" s="21" t="n"/>
      <c r="E461" s="21" t="n"/>
      <c r="F461" s="28" t="n"/>
      <c r="G461" s="28" t="n"/>
      <c r="H461" s="26" t="n"/>
      <c r="I461" s="10">
        <f>IF(H461&lt;&gt;"",H461,IF(AND(F461&lt;&gt;"",G461&lt;&gt;""),ROUND((G461-F461)*1440,0),""))</f>
        <v/>
      </c>
      <c r="J461" s="26" t="n"/>
      <c r="K461" s="9">
        <f>IF(D461="","",IFERROR(VLOOKUP(D461,参数!$A$5:$C$24,2,0),""))</f>
        <v/>
      </c>
      <c r="L461" s="9">
        <f>IF(D461="","",IFERROR(VLOOKUP(D461,参数!$A$5:$C$24,3,0),""))</f>
        <v/>
      </c>
      <c r="M461" s="21" t="n"/>
      <c r="N461" s="21" t="n"/>
      <c r="O461" s="21" t="n"/>
    </row>
    <row r="462">
      <c r="A462" s="24" t="n"/>
      <c r="B462" s="21" t="n"/>
      <c r="C462" s="21" t="n"/>
      <c r="D462" s="21" t="n"/>
      <c r="E462" s="21" t="n"/>
      <c r="F462" s="28" t="n"/>
      <c r="G462" s="28" t="n"/>
      <c r="H462" s="26" t="n"/>
      <c r="I462" s="10">
        <f>IF(H462&lt;&gt;"",H462,IF(AND(F462&lt;&gt;"",G462&lt;&gt;""),ROUND((G462-F462)*1440,0),""))</f>
        <v/>
      </c>
      <c r="J462" s="26" t="n"/>
      <c r="K462" s="9">
        <f>IF(D462="","",IFERROR(VLOOKUP(D462,参数!$A$5:$C$24,2,0),""))</f>
        <v/>
      </c>
      <c r="L462" s="9">
        <f>IF(D462="","",IFERROR(VLOOKUP(D462,参数!$A$5:$C$24,3,0),""))</f>
        <v/>
      </c>
      <c r="M462" s="21" t="n"/>
      <c r="N462" s="21" t="n"/>
      <c r="O462" s="21" t="n"/>
    </row>
    <row r="463">
      <c r="A463" s="24" t="n"/>
      <c r="B463" s="21" t="n"/>
      <c r="C463" s="21" t="n"/>
      <c r="D463" s="21" t="n"/>
      <c r="E463" s="21" t="n"/>
      <c r="F463" s="28" t="n"/>
      <c r="G463" s="28" t="n"/>
      <c r="H463" s="26" t="n"/>
      <c r="I463" s="10">
        <f>IF(H463&lt;&gt;"",H463,IF(AND(F463&lt;&gt;"",G463&lt;&gt;""),ROUND((G463-F463)*1440,0),""))</f>
        <v/>
      </c>
      <c r="J463" s="26" t="n"/>
      <c r="K463" s="9">
        <f>IF(D463="","",IFERROR(VLOOKUP(D463,参数!$A$5:$C$24,2,0),""))</f>
        <v/>
      </c>
      <c r="L463" s="9">
        <f>IF(D463="","",IFERROR(VLOOKUP(D463,参数!$A$5:$C$24,3,0),""))</f>
        <v/>
      </c>
      <c r="M463" s="21" t="n"/>
      <c r="N463" s="21" t="n"/>
      <c r="O463" s="21" t="n"/>
    </row>
    <row r="464">
      <c r="A464" s="24" t="n"/>
      <c r="B464" s="21" t="n"/>
      <c r="C464" s="21" t="n"/>
      <c r="D464" s="21" t="n"/>
      <c r="E464" s="21" t="n"/>
      <c r="F464" s="28" t="n"/>
      <c r="G464" s="28" t="n"/>
      <c r="H464" s="26" t="n"/>
      <c r="I464" s="10">
        <f>IF(H464&lt;&gt;"",H464,IF(AND(F464&lt;&gt;"",G464&lt;&gt;""),ROUND((G464-F464)*1440,0),""))</f>
        <v/>
      </c>
      <c r="J464" s="26" t="n"/>
      <c r="K464" s="9">
        <f>IF(D464="","",IFERROR(VLOOKUP(D464,参数!$A$5:$C$24,2,0),""))</f>
        <v/>
      </c>
      <c r="L464" s="9">
        <f>IF(D464="","",IFERROR(VLOOKUP(D464,参数!$A$5:$C$24,3,0),""))</f>
        <v/>
      </c>
      <c r="M464" s="21" t="n"/>
      <c r="N464" s="21" t="n"/>
      <c r="O464" s="21" t="n"/>
    </row>
    <row r="465">
      <c r="A465" s="24" t="n"/>
      <c r="B465" s="21" t="n"/>
      <c r="C465" s="21" t="n"/>
      <c r="D465" s="21" t="n"/>
      <c r="E465" s="21" t="n"/>
      <c r="F465" s="28" t="n"/>
      <c r="G465" s="28" t="n"/>
      <c r="H465" s="26" t="n"/>
      <c r="I465" s="10">
        <f>IF(H465&lt;&gt;"",H465,IF(AND(F465&lt;&gt;"",G465&lt;&gt;""),ROUND((G465-F465)*1440,0),""))</f>
        <v/>
      </c>
      <c r="J465" s="26" t="n"/>
      <c r="K465" s="9">
        <f>IF(D465="","",IFERROR(VLOOKUP(D465,参数!$A$5:$C$24,2,0),""))</f>
        <v/>
      </c>
      <c r="L465" s="9">
        <f>IF(D465="","",IFERROR(VLOOKUP(D465,参数!$A$5:$C$24,3,0),""))</f>
        <v/>
      </c>
      <c r="M465" s="21" t="n"/>
      <c r="N465" s="21" t="n"/>
      <c r="O465" s="21" t="n"/>
    </row>
    <row r="466">
      <c r="A466" s="24" t="n"/>
      <c r="B466" s="21" t="n"/>
      <c r="C466" s="21" t="n"/>
      <c r="D466" s="21" t="n"/>
      <c r="E466" s="21" t="n"/>
      <c r="F466" s="28" t="n"/>
      <c r="G466" s="28" t="n"/>
      <c r="H466" s="26" t="n"/>
      <c r="I466" s="10">
        <f>IF(H466&lt;&gt;"",H466,IF(AND(F466&lt;&gt;"",G466&lt;&gt;""),ROUND((G466-F466)*1440,0),""))</f>
        <v/>
      </c>
      <c r="J466" s="26" t="n"/>
      <c r="K466" s="9">
        <f>IF(D466="","",IFERROR(VLOOKUP(D466,参数!$A$5:$C$24,2,0),""))</f>
        <v/>
      </c>
      <c r="L466" s="9">
        <f>IF(D466="","",IFERROR(VLOOKUP(D466,参数!$A$5:$C$24,3,0),""))</f>
        <v/>
      </c>
      <c r="M466" s="21" t="n"/>
      <c r="N466" s="21" t="n"/>
      <c r="O466" s="21" t="n"/>
    </row>
    <row r="467">
      <c r="A467" s="24" t="n"/>
      <c r="B467" s="21" t="n"/>
      <c r="C467" s="21" t="n"/>
      <c r="D467" s="21" t="n"/>
      <c r="E467" s="21" t="n"/>
      <c r="F467" s="28" t="n"/>
      <c r="G467" s="28" t="n"/>
      <c r="H467" s="26" t="n"/>
      <c r="I467" s="10">
        <f>IF(H467&lt;&gt;"",H467,IF(AND(F467&lt;&gt;"",G467&lt;&gt;""),ROUND((G467-F467)*1440,0),""))</f>
        <v/>
      </c>
      <c r="J467" s="26" t="n"/>
      <c r="K467" s="9">
        <f>IF(D467="","",IFERROR(VLOOKUP(D467,参数!$A$5:$C$24,2,0),""))</f>
        <v/>
      </c>
      <c r="L467" s="9">
        <f>IF(D467="","",IFERROR(VLOOKUP(D467,参数!$A$5:$C$24,3,0),""))</f>
        <v/>
      </c>
      <c r="M467" s="21" t="n"/>
      <c r="N467" s="21" t="n"/>
      <c r="O467" s="21" t="n"/>
    </row>
    <row r="468">
      <c r="A468" s="24" t="n"/>
      <c r="B468" s="21" t="n"/>
      <c r="C468" s="21" t="n"/>
      <c r="D468" s="21" t="n"/>
      <c r="E468" s="21" t="n"/>
      <c r="F468" s="28" t="n"/>
      <c r="G468" s="28" t="n"/>
      <c r="H468" s="26" t="n"/>
      <c r="I468" s="10">
        <f>IF(H468&lt;&gt;"",H468,IF(AND(F468&lt;&gt;"",G468&lt;&gt;""),ROUND((G468-F468)*1440,0),""))</f>
        <v/>
      </c>
      <c r="J468" s="26" t="n"/>
      <c r="K468" s="9">
        <f>IF(D468="","",IFERROR(VLOOKUP(D468,参数!$A$5:$C$24,2,0),""))</f>
        <v/>
      </c>
      <c r="L468" s="9">
        <f>IF(D468="","",IFERROR(VLOOKUP(D468,参数!$A$5:$C$24,3,0),""))</f>
        <v/>
      </c>
      <c r="M468" s="21" t="n"/>
      <c r="N468" s="21" t="n"/>
      <c r="O468" s="21" t="n"/>
    </row>
    <row r="469">
      <c r="A469" s="24" t="n"/>
      <c r="B469" s="21" t="n"/>
      <c r="C469" s="21" t="n"/>
      <c r="D469" s="21" t="n"/>
      <c r="E469" s="21" t="n"/>
      <c r="F469" s="28" t="n"/>
      <c r="G469" s="28" t="n"/>
      <c r="H469" s="26" t="n"/>
      <c r="I469" s="10">
        <f>IF(H469&lt;&gt;"",H469,IF(AND(F469&lt;&gt;"",G469&lt;&gt;""),ROUND((G469-F469)*1440,0),""))</f>
        <v/>
      </c>
      <c r="J469" s="26" t="n"/>
      <c r="K469" s="9">
        <f>IF(D469="","",IFERROR(VLOOKUP(D469,参数!$A$5:$C$24,2,0),""))</f>
        <v/>
      </c>
      <c r="L469" s="9">
        <f>IF(D469="","",IFERROR(VLOOKUP(D469,参数!$A$5:$C$24,3,0),""))</f>
        <v/>
      </c>
      <c r="M469" s="21" t="n"/>
      <c r="N469" s="21" t="n"/>
      <c r="O469" s="21" t="n"/>
    </row>
    <row r="470">
      <c r="A470" s="24" t="n"/>
      <c r="B470" s="21" t="n"/>
      <c r="C470" s="21" t="n"/>
      <c r="D470" s="21" t="n"/>
      <c r="E470" s="21" t="n"/>
      <c r="F470" s="28" t="n"/>
      <c r="G470" s="28" t="n"/>
      <c r="H470" s="26" t="n"/>
      <c r="I470" s="10">
        <f>IF(H470&lt;&gt;"",H470,IF(AND(F470&lt;&gt;"",G470&lt;&gt;""),ROUND((G470-F470)*1440,0),""))</f>
        <v/>
      </c>
      <c r="J470" s="26" t="n"/>
      <c r="K470" s="9">
        <f>IF(D470="","",IFERROR(VLOOKUP(D470,参数!$A$5:$C$24,2,0),""))</f>
        <v/>
      </c>
      <c r="L470" s="9">
        <f>IF(D470="","",IFERROR(VLOOKUP(D470,参数!$A$5:$C$24,3,0),""))</f>
        <v/>
      </c>
      <c r="M470" s="21" t="n"/>
      <c r="N470" s="21" t="n"/>
      <c r="O470" s="21" t="n"/>
    </row>
    <row r="471">
      <c r="A471" s="24" t="n"/>
      <c r="B471" s="21" t="n"/>
      <c r="C471" s="21" t="n"/>
      <c r="D471" s="21" t="n"/>
      <c r="E471" s="21" t="n"/>
      <c r="F471" s="28" t="n"/>
      <c r="G471" s="28" t="n"/>
      <c r="H471" s="26" t="n"/>
      <c r="I471" s="10">
        <f>IF(H471&lt;&gt;"",H471,IF(AND(F471&lt;&gt;"",G471&lt;&gt;""),ROUND((G471-F471)*1440,0),""))</f>
        <v/>
      </c>
      <c r="J471" s="26" t="n"/>
      <c r="K471" s="9">
        <f>IF(D471="","",IFERROR(VLOOKUP(D471,参数!$A$5:$C$24,2,0),""))</f>
        <v/>
      </c>
      <c r="L471" s="9">
        <f>IF(D471="","",IFERROR(VLOOKUP(D471,参数!$A$5:$C$24,3,0),""))</f>
        <v/>
      </c>
      <c r="M471" s="21" t="n"/>
      <c r="N471" s="21" t="n"/>
      <c r="O471" s="21" t="n"/>
    </row>
    <row r="472">
      <c r="A472" s="24" t="n"/>
      <c r="B472" s="21" t="n"/>
      <c r="C472" s="21" t="n"/>
      <c r="D472" s="21" t="n"/>
      <c r="E472" s="21" t="n"/>
      <c r="F472" s="28" t="n"/>
      <c r="G472" s="28" t="n"/>
      <c r="H472" s="26" t="n"/>
      <c r="I472" s="10">
        <f>IF(H472&lt;&gt;"",H472,IF(AND(F472&lt;&gt;"",G472&lt;&gt;""),ROUND((G472-F472)*1440,0),""))</f>
        <v/>
      </c>
      <c r="J472" s="26" t="n"/>
      <c r="K472" s="9">
        <f>IF(D472="","",IFERROR(VLOOKUP(D472,参数!$A$5:$C$24,2,0),""))</f>
        <v/>
      </c>
      <c r="L472" s="9">
        <f>IF(D472="","",IFERROR(VLOOKUP(D472,参数!$A$5:$C$24,3,0),""))</f>
        <v/>
      </c>
      <c r="M472" s="21" t="n"/>
      <c r="N472" s="21" t="n"/>
      <c r="O472" s="21" t="n"/>
    </row>
    <row r="473">
      <c r="A473" s="24" t="n"/>
      <c r="B473" s="21" t="n"/>
      <c r="C473" s="21" t="n"/>
      <c r="D473" s="21" t="n"/>
      <c r="E473" s="21" t="n"/>
      <c r="F473" s="28" t="n"/>
      <c r="G473" s="28" t="n"/>
      <c r="H473" s="26" t="n"/>
      <c r="I473" s="10">
        <f>IF(H473&lt;&gt;"",H473,IF(AND(F473&lt;&gt;"",G473&lt;&gt;""),ROUND((G473-F473)*1440,0),""))</f>
        <v/>
      </c>
      <c r="J473" s="26" t="n"/>
      <c r="K473" s="9">
        <f>IF(D473="","",IFERROR(VLOOKUP(D473,参数!$A$5:$C$24,2,0),""))</f>
        <v/>
      </c>
      <c r="L473" s="9">
        <f>IF(D473="","",IFERROR(VLOOKUP(D473,参数!$A$5:$C$24,3,0),""))</f>
        <v/>
      </c>
      <c r="M473" s="21" t="n"/>
      <c r="N473" s="21" t="n"/>
      <c r="O473" s="21" t="n"/>
    </row>
    <row r="474">
      <c r="A474" s="24" t="n"/>
      <c r="B474" s="21" t="n"/>
      <c r="C474" s="21" t="n"/>
      <c r="D474" s="21" t="n"/>
      <c r="E474" s="21" t="n"/>
      <c r="F474" s="28" t="n"/>
      <c r="G474" s="28" t="n"/>
      <c r="H474" s="26" t="n"/>
      <c r="I474" s="10">
        <f>IF(H474&lt;&gt;"",H474,IF(AND(F474&lt;&gt;"",G474&lt;&gt;""),ROUND((G474-F474)*1440,0),""))</f>
        <v/>
      </c>
      <c r="J474" s="26" t="n"/>
      <c r="K474" s="9">
        <f>IF(D474="","",IFERROR(VLOOKUP(D474,参数!$A$5:$C$24,2,0),""))</f>
        <v/>
      </c>
      <c r="L474" s="9">
        <f>IF(D474="","",IFERROR(VLOOKUP(D474,参数!$A$5:$C$24,3,0),""))</f>
        <v/>
      </c>
      <c r="M474" s="21" t="n"/>
      <c r="N474" s="21" t="n"/>
      <c r="O474" s="21" t="n"/>
    </row>
    <row r="475">
      <c r="A475" s="24" t="n"/>
      <c r="B475" s="21" t="n"/>
      <c r="C475" s="21" t="n"/>
      <c r="D475" s="21" t="n"/>
      <c r="E475" s="21" t="n"/>
      <c r="F475" s="28" t="n"/>
      <c r="G475" s="28" t="n"/>
      <c r="H475" s="26" t="n"/>
      <c r="I475" s="10">
        <f>IF(H475&lt;&gt;"",H475,IF(AND(F475&lt;&gt;"",G475&lt;&gt;""),ROUND((G475-F475)*1440,0),""))</f>
        <v/>
      </c>
      <c r="J475" s="26" t="n"/>
      <c r="K475" s="9">
        <f>IF(D475="","",IFERROR(VLOOKUP(D475,参数!$A$5:$C$24,2,0),""))</f>
        <v/>
      </c>
      <c r="L475" s="9">
        <f>IF(D475="","",IFERROR(VLOOKUP(D475,参数!$A$5:$C$24,3,0),""))</f>
        <v/>
      </c>
      <c r="M475" s="21" t="n"/>
      <c r="N475" s="21" t="n"/>
      <c r="O475" s="21" t="n"/>
    </row>
    <row r="476">
      <c r="A476" s="24" t="n"/>
      <c r="B476" s="21" t="n"/>
      <c r="C476" s="21" t="n"/>
      <c r="D476" s="21" t="n"/>
      <c r="E476" s="21" t="n"/>
      <c r="F476" s="28" t="n"/>
      <c r="G476" s="28" t="n"/>
      <c r="H476" s="26" t="n"/>
      <c r="I476" s="10">
        <f>IF(H476&lt;&gt;"",H476,IF(AND(F476&lt;&gt;"",G476&lt;&gt;""),ROUND((G476-F476)*1440,0),""))</f>
        <v/>
      </c>
      <c r="J476" s="26" t="n"/>
      <c r="K476" s="9">
        <f>IF(D476="","",IFERROR(VLOOKUP(D476,参数!$A$5:$C$24,2,0),""))</f>
        <v/>
      </c>
      <c r="L476" s="9">
        <f>IF(D476="","",IFERROR(VLOOKUP(D476,参数!$A$5:$C$24,3,0),""))</f>
        <v/>
      </c>
      <c r="M476" s="21" t="n"/>
      <c r="N476" s="21" t="n"/>
      <c r="O476" s="21" t="n"/>
    </row>
    <row r="477">
      <c r="A477" s="24" t="n"/>
      <c r="B477" s="21" t="n"/>
      <c r="C477" s="21" t="n"/>
      <c r="D477" s="21" t="n"/>
      <c r="E477" s="21" t="n"/>
      <c r="F477" s="28" t="n"/>
      <c r="G477" s="28" t="n"/>
      <c r="H477" s="26" t="n"/>
      <c r="I477" s="10">
        <f>IF(H477&lt;&gt;"",H477,IF(AND(F477&lt;&gt;"",G477&lt;&gt;""),ROUND((G477-F477)*1440,0),""))</f>
        <v/>
      </c>
      <c r="J477" s="26" t="n"/>
      <c r="K477" s="9">
        <f>IF(D477="","",IFERROR(VLOOKUP(D477,参数!$A$5:$C$24,2,0),""))</f>
        <v/>
      </c>
      <c r="L477" s="9">
        <f>IF(D477="","",IFERROR(VLOOKUP(D477,参数!$A$5:$C$24,3,0),""))</f>
        <v/>
      </c>
      <c r="M477" s="21" t="n"/>
      <c r="N477" s="21" t="n"/>
      <c r="O477" s="21" t="n"/>
    </row>
    <row r="478">
      <c r="A478" s="24" t="n"/>
      <c r="B478" s="21" t="n"/>
      <c r="C478" s="21" t="n"/>
      <c r="D478" s="21" t="n"/>
      <c r="E478" s="21" t="n"/>
      <c r="F478" s="28" t="n"/>
      <c r="G478" s="28" t="n"/>
      <c r="H478" s="26" t="n"/>
      <c r="I478" s="10">
        <f>IF(H478&lt;&gt;"",H478,IF(AND(F478&lt;&gt;"",G478&lt;&gt;""),ROUND((G478-F478)*1440,0),""))</f>
        <v/>
      </c>
      <c r="J478" s="26" t="n"/>
      <c r="K478" s="9">
        <f>IF(D478="","",IFERROR(VLOOKUP(D478,参数!$A$5:$C$24,2,0),""))</f>
        <v/>
      </c>
      <c r="L478" s="9">
        <f>IF(D478="","",IFERROR(VLOOKUP(D478,参数!$A$5:$C$24,3,0),""))</f>
        <v/>
      </c>
      <c r="M478" s="21" t="n"/>
      <c r="N478" s="21" t="n"/>
      <c r="O478" s="21" t="n"/>
    </row>
    <row r="479">
      <c r="A479" s="24" t="n"/>
      <c r="B479" s="21" t="n"/>
      <c r="C479" s="21" t="n"/>
      <c r="D479" s="21" t="n"/>
      <c r="E479" s="21" t="n"/>
      <c r="F479" s="28" t="n"/>
      <c r="G479" s="28" t="n"/>
      <c r="H479" s="26" t="n"/>
      <c r="I479" s="10">
        <f>IF(H479&lt;&gt;"",H479,IF(AND(F479&lt;&gt;"",G479&lt;&gt;""),ROUND((G479-F479)*1440,0),""))</f>
        <v/>
      </c>
      <c r="J479" s="26" t="n"/>
      <c r="K479" s="9">
        <f>IF(D479="","",IFERROR(VLOOKUP(D479,参数!$A$5:$C$24,2,0),""))</f>
        <v/>
      </c>
      <c r="L479" s="9">
        <f>IF(D479="","",IFERROR(VLOOKUP(D479,参数!$A$5:$C$24,3,0),""))</f>
        <v/>
      </c>
      <c r="M479" s="21" t="n"/>
      <c r="N479" s="21" t="n"/>
      <c r="O479" s="21" t="n"/>
    </row>
    <row r="480">
      <c r="A480" s="24" t="n"/>
      <c r="B480" s="21" t="n"/>
      <c r="C480" s="21" t="n"/>
      <c r="D480" s="21" t="n"/>
      <c r="E480" s="21" t="n"/>
      <c r="F480" s="28" t="n"/>
      <c r="G480" s="28" t="n"/>
      <c r="H480" s="26" t="n"/>
      <c r="I480" s="10">
        <f>IF(H480&lt;&gt;"",H480,IF(AND(F480&lt;&gt;"",G480&lt;&gt;""),ROUND((G480-F480)*1440,0),""))</f>
        <v/>
      </c>
      <c r="J480" s="26" t="n"/>
      <c r="K480" s="9">
        <f>IF(D480="","",IFERROR(VLOOKUP(D480,参数!$A$5:$C$24,2,0),""))</f>
        <v/>
      </c>
      <c r="L480" s="9">
        <f>IF(D480="","",IFERROR(VLOOKUP(D480,参数!$A$5:$C$24,3,0),""))</f>
        <v/>
      </c>
      <c r="M480" s="21" t="n"/>
      <c r="N480" s="21" t="n"/>
      <c r="O480" s="21" t="n"/>
    </row>
    <row r="481">
      <c r="A481" s="24" t="n"/>
      <c r="B481" s="21" t="n"/>
      <c r="C481" s="21" t="n"/>
      <c r="D481" s="21" t="n"/>
      <c r="E481" s="21" t="n"/>
      <c r="F481" s="28" t="n"/>
      <c r="G481" s="28" t="n"/>
      <c r="H481" s="26" t="n"/>
      <c r="I481" s="10">
        <f>IF(H481&lt;&gt;"",H481,IF(AND(F481&lt;&gt;"",G481&lt;&gt;""),ROUND((G481-F481)*1440,0),""))</f>
        <v/>
      </c>
      <c r="J481" s="26" t="n"/>
      <c r="K481" s="9">
        <f>IF(D481="","",IFERROR(VLOOKUP(D481,参数!$A$5:$C$24,2,0),""))</f>
        <v/>
      </c>
      <c r="L481" s="9">
        <f>IF(D481="","",IFERROR(VLOOKUP(D481,参数!$A$5:$C$24,3,0),""))</f>
        <v/>
      </c>
      <c r="M481" s="21" t="n"/>
      <c r="N481" s="21" t="n"/>
      <c r="O481" s="21" t="n"/>
    </row>
    <row r="482">
      <c r="A482" s="24" t="n"/>
      <c r="B482" s="21" t="n"/>
      <c r="C482" s="21" t="n"/>
      <c r="D482" s="21" t="n"/>
      <c r="E482" s="21" t="n"/>
      <c r="F482" s="28" t="n"/>
      <c r="G482" s="28" t="n"/>
      <c r="H482" s="26" t="n"/>
      <c r="I482" s="10">
        <f>IF(H482&lt;&gt;"",H482,IF(AND(F482&lt;&gt;"",G482&lt;&gt;""),ROUND((G482-F482)*1440,0),""))</f>
        <v/>
      </c>
      <c r="J482" s="26" t="n"/>
      <c r="K482" s="9">
        <f>IF(D482="","",IFERROR(VLOOKUP(D482,参数!$A$5:$C$24,2,0),""))</f>
        <v/>
      </c>
      <c r="L482" s="9">
        <f>IF(D482="","",IFERROR(VLOOKUP(D482,参数!$A$5:$C$24,3,0),""))</f>
        <v/>
      </c>
      <c r="M482" s="21" t="n"/>
      <c r="N482" s="21" t="n"/>
      <c r="O482" s="21" t="n"/>
    </row>
    <row r="483">
      <c r="A483" s="24" t="n"/>
      <c r="B483" s="21" t="n"/>
      <c r="C483" s="21" t="n"/>
      <c r="D483" s="21" t="n"/>
      <c r="E483" s="21" t="n"/>
      <c r="F483" s="28" t="n"/>
      <c r="G483" s="28" t="n"/>
      <c r="H483" s="26" t="n"/>
      <c r="I483" s="10">
        <f>IF(H483&lt;&gt;"",H483,IF(AND(F483&lt;&gt;"",G483&lt;&gt;""),ROUND((G483-F483)*1440,0),""))</f>
        <v/>
      </c>
      <c r="J483" s="26" t="n"/>
      <c r="K483" s="9">
        <f>IF(D483="","",IFERROR(VLOOKUP(D483,参数!$A$5:$C$24,2,0),""))</f>
        <v/>
      </c>
      <c r="L483" s="9">
        <f>IF(D483="","",IFERROR(VLOOKUP(D483,参数!$A$5:$C$24,3,0),""))</f>
        <v/>
      </c>
      <c r="M483" s="21" t="n"/>
      <c r="N483" s="21" t="n"/>
      <c r="O483" s="21" t="n"/>
    </row>
    <row r="484">
      <c r="A484" s="24" t="n"/>
      <c r="B484" s="21" t="n"/>
      <c r="C484" s="21" t="n"/>
      <c r="D484" s="21" t="n"/>
      <c r="E484" s="21" t="n"/>
      <c r="F484" s="28" t="n"/>
      <c r="G484" s="28" t="n"/>
      <c r="H484" s="26" t="n"/>
      <c r="I484" s="10">
        <f>IF(H484&lt;&gt;"",H484,IF(AND(F484&lt;&gt;"",G484&lt;&gt;""),ROUND((G484-F484)*1440,0),""))</f>
        <v/>
      </c>
      <c r="J484" s="26" t="n"/>
      <c r="K484" s="9">
        <f>IF(D484="","",IFERROR(VLOOKUP(D484,参数!$A$5:$C$24,2,0),""))</f>
        <v/>
      </c>
      <c r="L484" s="9">
        <f>IF(D484="","",IFERROR(VLOOKUP(D484,参数!$A$5:$C$24,3,0),""))</f>
        <v/>
      </c>
      <c r="M484" s="21" t="n"/>
      <c r="N484" s="21" t="n"/>
      <c r="O484" s="21" t="n"/>
    </row>
    <row r="485">
      <c r="A485" s="24" t="n"/>
      <c r="B485" s="21" t="n"/>
      <c r="C485" s="21" t="n"/>
      <c r="D485" s="21" t="n"/>
      <c r="E485" s="21" t="n"/>
      <c r="F485" s="28" t="n"/>
      <c r="G485" s="28" t="n"/>
      <c r="H485" s="26" t="n"/>
      <c r="I485" s="10">
        <f>IF(H485&lt;&gt;"",H485,IF(AND(F485&lt;&gt;"",G485&lt;&gt;""),ROUND((G485-F485)*1440,0),""))</f>
        <v/>
      </c>
      <c r="J485" s="26" t="n"/>
      <c r="K485" s="9">
        <f>IF(D485="","",IFERROR(VLOOKUP(D485,参数!$A$5:$C$24,2,0),""))</f>
        <v/>
      </c>
      <c r="L485" s="9">
        <f>IF(D485="","",IFERROR(VLOOKUP(D485,参数!$A$5:$C$24,3,0),""))</f>
        <v/>
      </c>
      <c r="M485" s="21" t="n"/>
      <c r="N485" s="21" t="n"/>
      <c r="O485" s="21" t="n"/>
    </row>
    <row r="486">
      <c r="A486" s="24" t="n"/>
      <c r="B486" s="21" t="n"/>
      <c r="C486" s="21" t="n"/>
      <c r="D486" s="21" t="n"/>
      <c r="E486" s="21" t="n"/>
      <c r="F486" s="28" t="n"/>
      <c r="G486" s="28" t="n"/>
      <c r="H486" s="26" t="n"/>
      <c r="I486" s="10">
        <f>IF(H486&lt;&gt;"",H486,IF(AND(F486&lt;&gt;"",G486&lt;&gt;""),ROUND((G486-F486)*1440,0),""))</f>
        <v/>
      </c>
      <c r="J486" s="26" t="n"/>
      <c r="K486" s="9">
        <f>IF(D486="","",IFERROR(VLOOKUP(D486,参数!$A$5:$C$24,2,0),""))</f>
        <v/>
      </c>
      <c r="L486" s="9">
        <f>IF(D486="","",IFERROR(VLOOKUP(D486,参数!$A$5:$C$24,3,0),""))</f>
        <v/>
      </c>
      <c r="M486" s="21" t="n"/>
      <c r="N486" s="21" t="n"/>
      <c r="O486" s="21" t="n"/>
    </row>
    <row r="487">
      <c r="A487" s="24" t="n"/>
      <c r="B487" s="21" t="n"/>
      <c r="C487" s="21" t="n"/>
      <c r="D487" s="21" t="n"/>
      <c r="E487" s="21" t="n"/>
      <c r="F487" s="28" t="n"/>
      <c r="G487" s="28" t="n"/>
      <c r="H487" s="26" t="n"/>
      <c r="I487" s="10">
        <f>IF(H487&lt;&gt;"",H487,IF(AND(F487&lt;&gt;"",G487&lt;&gt;""),ROUND((G487-F487)*1440,0),""))</f>
        <v/>
      </c>
      <c r="J487" s="26" t="n"/>
      <c r="K487" s="9">
        <f>IF(D487="","",IFERROR(VLOOKUP(D487,参数!$A$5:$C$24,2,0),""))</f>
        <v/>
      </c>
      <c r="L487" s="9">
        <f>IF(D487="","",IFERROR(VLOOKUP(D487,参数!$A$5:$C$24,3,0),""))</f>
        <v/>
      </c>
      <c r="M487" s="21" t="n"/>
      <c r="N487" s="21" t="n"/>
      <c r="O487" s="21" t="n"/>
    </row>
    <row r="488">
      <c r="A488" s="24" t="n"/>
      <c r="B488" s="21" t="n"/>
      <c r="C488" s="21" t="n"/>
      <c r="D488" s="21" t="n"/>
      <c r="E488" s="21" t="n"/>
      <c r="F488" s="28" t="n"/>
      <c r="G488" s="28" t="n"/>
      <c r="H488" s="26" t="n"/>
      <c r="I488" s="10">
        <f>IF(H488&lt;&gt;"",H488,IF(AND(F488&lt;&gt;"",G488&lt;&gt;""),ROUND((G488-F488)*1440,0),""))</f>
        <v/>
      </c>
      <c r="J488" s="26" t="n"/>
      <c r="K488" s="9">
        <f>IF(D488="","",IFERROR(VLOOKUP(D488,参数!$A$5:$C$24,2,0),""))</f>
        <v/>
      </c>
      <c r="L488" s="9">
        <f>IF(D488="","",IFERROR(VLOOKUP(D488,参数!$A$5:$C$24,3,0),""))</f>
        <v/>
      </c>
      <c r="M488" s="21" t="n"/>
      <c r="N488" s="21" t="n"/>
      <c r="O488" s="21" t="n"/>
    </row>
    <row r="489">
      <c r="A489" s="24" t="n"/>
      <c r="B489" s="21" t="n"/>
      <c r="C489" s="21" t="n"/>
      <c r="D489" s="21" t="n"/>
      <c r="E489" s="21" t="n"/>
      <c r="F489" s="28" t="n"/>
      <c r="G489" s="28" t="n"/>
      <c r="H489" s="26" t="n"/>
      <c r="I489" s="10">
        <f>IF(H489&lt;&gt;"",H489,IF(AND(F489&lt;&gt;"",G489&lt;&gt;""),ROUND((G489-F489)*1440,0),""))</f>
        <v/>
      </c>
      <c r="J489" s="26" t="n"/>
      <c r="K489" s="9">
        <f>IF(D489="","",IFERROR(VLOOKUP(D489,参数!$A$5:$C$24,2,0),""))</f>
        <v/>
      </c>
      <c r="L489" s="9">
        <f>IF(D489="","",IFERROR(VLOOKUP(D489,参数!$A$5:$C$24,3,0),""))</f>
        <v/>
      </c>
      <c r="M489" s="21" t="n"/>
      <c r="N489" s="21" t="n"/>
      <c r="O489" s="21" t="n"/>
    </row>
    <row r="490">
      <c r="A490" s="24" t="n"/>
      <c r="B490" s="21" t="n"/>
      <c r="C490" s="21" t="n"/>
      <c r="D490" s="21" t="n"/>
      <c r="E490" s="21" t="n"/>
      <c r="F490" s="28" t="n"/>
      <c r="G490" s="28" t="n"/>
      <c r="H490" s="26" t="n"/>
      <c r="I490" s="10">
        <f>IF(H490&lt;&gt;"",H490,IF(AND(F490&lt;&gt;"",G490&lt;&gt;""),ROUND((G490-F490)*1440,0),""))</f>
        <v/>
      </c>
      <c r="J490" s="26" t="n"/>
      <c r="K490" s="9">
        <f>IF(D490="","",IFERROR(VLOOKUP(D490,参数!$A$5:$C$24,2,0),""))</f>
        <v/>
      </c>
      <c r="L490" s="9">
        <f>IF(D490="","",IFERROR(VLOOKUP(D490,参数!$A$5:$C$24,3,0),""))</f>
        <v/>
      </c>
      <c r="M490" s="21" t="n"/>
      <c r="N490" s="21" t="n"/>
      <c r="O490" s="21" t="n"/>
    </row>
    <row r="491">
      <c r="A491" s="24" t="n"/>
      <c r="B491" s="21" t="n"/>
      <c r="C491" s="21" t="n"/>
      <c r="D491" s="21" t="n"/>
      <c r="E491" s="21" t="n"/>
      <c r="F491" s="28" t="n"/>
      <c r="G491" s="28" t="n"/>
      <c r="H491" s="26" t="n"/>
      <c r="I491" s="10">
        <f>IF(H491&lt;&gt;"",H491,IF(AND(F491&lt;&gt;"",G491&lt;&gt;""),ROUND((G491-F491)*1440,0),""))</f>
        <v/>
      </c>
      <c r="J491" s="26" t="n"/>
      <c r="K491" s="9">
        <f>IF(D491="","",IFERROR(VLOOKUP(D491,参数!$A$5:$C$24,2,0),""))</f>
        <v/>
      </c>
      <c r="L491" s="9">
        <f>IF(D491="","",IFERROR(VLOOKUP(D491,参数!$A$5:$C$24,3,0),""))</f>
        <v/>
      </c>
      <c r="M491" s="21" t="n"/>
      <c r="N491" s="21" t="n"/>
      <c r="O491" s="21" t="n"/>
    </row>
    <row r="492">
      <c r="A492" s="24" t="n"/>
      <c r="B492" s="21" t="n"/>
      <c r="C492" s="21" t="n"/>
      <c r="D492" s="21" t="n"/>
      <c r="E492" s="21" t="n"/>
      <c r="F492" s="28" t="n"/>
      <c r="G492" s="28" t="n"/>
      <c r="H492" s="26" t="n"/>
      <c r="I492" s="10">
        <f>IF(H492&lt;&gt;"",H492,IF(AND(F492&lt;&gt;"",G492&lt;&gt;""),ROUND((G492-F492)*1440,0),""))</f>
        <v/>
      </c>
      <c r="J492" s="26" t="n"/>
      <c r="K492" s="9">
        <f>IF(D492="","",IFERROR(VLOOKUP(D492,参数!$A$5:$C$24,2,0),""))</f>
        <v/>
      </c>
      <c r="L492" s="9">
        <f>IF(D492="","",IFERROR(VLOOKUP(D492,参数!$A$5:$C$24,3,0),""))</f>
        <v/>
      </c>
      <c r="M492" s="21" t="n"/>
      <c r="N492" s="21" t="n"/>
      <c r="O492" s="21" t="n"/>
    </row>
    <row r="493">
      <c r="A493" s="24" t="n"/>
      <c r="B493" s="21" t="n"/>
      <c r="C493" s="21" t="n"/>
      <c r="D493" s="21" t="n"/>
      <c r="E493" s="21" t="n"/>
      <c r="F493" s="28" t="n"/>
      <c r="G493" s="28" t="n"/>
      <c r="H493" s="26" t="n"/>
      <c r="I493" s="10">
        <f>IF(H493&lt;&gt;"",H493,IF(AND(F493&lt;&gt;"",G493&lt;&gt;""),ROUND((G493-F493)*1440,0),""))</f>
        <v/>
      </c>
      <c r="J493" s="26" t="n"/>
      <c r="K493" s="9">
        <f>IF(D493="","",IFERROR(VLOOKUP(D493,参数!$A$5:$C$24,2,0),""))</f>
        <v/>
      </c>
      <c r="L493" s="9">
        <f>IF(D493="","",IFERROR(VLOOKUP(D493,参数!$A$5:$C$24,3,0),""))</f>
        <v/>
      </c>
      <c r="M493" s="21" t="n"/>
      <c r="N493" s="21" t="n"/>
      <c r="O493" s="21" t="n"/>
    </row>
    <row r="494">
      <c r="A494" s="24" t="n"/>
      <c r="B494" s="21" t="n"/>
      <c r="C494" s="21" t="n"/>
      <c r="D494" s="21" t="n"/>
      <c r="E494" s="21" t="n"/>
      <c r="F494" s="28" t="n"/>
      <c r="G494" s="28" t="n"/>
      <c r="H494" s="26" t="n"/>
      <c r="I494" s="10">
        <f>IF(H494&lt;&gt;"",H494,IF(AND(F494&lt;&gt;"",G494&lt;&gt;""),ROUND((G494-F494)*1440,0),""))</f>
        <v/>
      </c>
      <c r="J494" s="26" t="n"/>
      <c r="K494" s="9">
        <f>IF(D494="","",IFERROR(VLOOKUP(D494,参数!$A$5:$C$24,2,0),""))</f>
        <v/>
      </c>
      <c r="L494" s="9">
        <f>IF(D494="","",IFERROR(VLOOKUP(D494,参数!$A$5:$C$24,3,0),""))</f>
        <v/>
      </c>
      <c r="M494" s="21" t="n"/>
      <c r="N494" s="21" t="n"/>
      <c r="O494" s="21" t="n"/>
    </row>
    <row r="495">
      <c r="A495" s="24" t="n"/>
      <c r="B495" s="21" t="n"/>
      <c r="C495" s="21" t="n"/>
      <c r="D495" s="21" t="n"/>
      <c r="E495" s="21" t="n"/>
      <c r="F495" s="28" t="n"/>
      <c r="G495" s="28" t="n"/>
      <c r="H495" s="26" t="n"/>
      <c r="I495" s="10">
        <f>IF(H495&lt;&gt;"",H495,IF(AND(F495&lt;&gt;"",G495&lt;&gt;""),ROUND((G495-F495)*1440,0),""))</f>
        <v/>
      </c>
      <c r="J495" s="26" t="n"/>
      <c r="K495" s="9">
        <f>IF(D495="","",IFERROR(VLOOKUP(D495,参数!$A$5:$C$24,2,0),""))</f>
        <v/>
      </c>
      <c r="L495" s="9">
        <f>IF(D495="","",IFERROR(VLOOKUP(D495,参数!$A$5:$C$24,3,0),""))</f>
        <v/>
      </c>
      <c r="M495" s="21" t="n"/>
      <c r="N495" s="21" t="n"/>
      <c r="O495" s="21" t="n"/>
    </row>
    <row r="496">
      <c r="A496" s="24" t="n"/>
      <c r="B496" s="21" t="n"/>
      <c r="C496" s="21" t="n"/>
      <c r="D496" s="21" t="n"/>
      <c r="E496" s="21" t="n"/>
      <c r="F496" s="28" t="n"/>
      <c r="G496" s="28" t="n"/>
      <c r="H496" s="26" t="n"/>
      <c r="I496" s="10">
        <f>IF(H496&lt;&gt;"",H496,IF(AND(F496&lt;&gt;"",G496&lt;&gt;""),ROUND((G496-F496)*1440,0),""))</f>
        <v/>
      </c>
      <c r="J496" s="26" t="n"/>
      <c r="K496" s="9">
        <f>IF(D496="","",IFERROR(VLOOKUP(D496,参数!$A$5:$C$24,2,0),""))</f>
        <v/>
      </c>
      <c r="L496" s="9">
        <f>IF(D496="","",IFERROR(VLOOKUP(D496,参数!$A$5:$C$24,3,0),""))</f>
        <v/>
      </c>
      <c r="M496" s="21" t="n"/>
      <c r="N496" s="21" t="n"/>
      <c r="O496" s="21" t="n"/>
    </row>
    <row r="497">
      <c r="A497" s="24" t="n"/>
      <c r="B497" s="21" t="n"/>
      <c r="C497" s="21" t="n"/>
      <c r="D497" s="21" t="n"/>
      <c r="E497" s="21" t="n"/>
      <c r="F497" s="28" t="n"/>
      <c r="G497" s="28" t="n"/>
      <c r="H497" s="26" t="n"/>
      <c r="I497" s="10">
        <f>IF(H497&lt;&gt;"",H497,IF(AND(F497&lt;&gt;"",G497&lt;&gt;""),ROUND((G497-F497)*1440,0),""))</f>
        <v/>
      </c>
      <c r="J497" s="26" t="n"/>
      <c r="K497" s="9">
        <f>IF(D497="","",IFERROR(VLOOKUP(D497,参数!$A$5:$C$24,2,0),""))</f>
        <v/>
      </c>
      <c r="L497" s="9">
        <f>IF(D497="","",IFERROR(VLOOKUP(D497,参数!$A$5:$C$24,3,0),""))</f>
        <v/>
      </c>
      <c r="M497" s="21" t="n"/>
      <c r="N497" s="21" t="n"/>
      <c r="O497" s="21" t="n"/>
    </row>
    <row r="498">
      <c r="A498" s="24" t="n"/>
      <c r="B498" s="21" t="n"/>
      <c r="C498" s="21" t="n"/>
      <c r="D498" s="21" t="n"/>
      <c r="E498" s="21" t="n"/>
      <c r="F498" s="28" t="n"/>
      <c r="G498" s="28" t="n"/>
      <c r="H498" s="26" t="n"/>
      <c r="I498" s="10">
        <f>IF(H498&lt;&gt;"",H498,IF(AND(F498&lt;&gt;"",G498&lt;&gt;""),ROUND((G498-F498)*1440,0),""))</f>
        <v/>
      </c>
      <c r="J498" s="26" t="n"/>
      <c r="K498" s="9">
        <f>IF(D498="","",IFERROR(VLOOKUP(D498,参数!$A$5:$C$24,2,0),""))</f>
        <v/>
      </c>
      <c r="L498" s="9">
        <f>IF(D498="","",IFERROR(VLOOKUP(D498,参数!$A$5:$C$24,3,0),""))</f>
        <v/>
      </c>
      <c r="M498" s="21" t="n"/>
      <c r="N498" s="21" t="n"/>
      <c r="O498" s="21" t="n"/>
    </row>
    <row r="499">
      <c r="A499" s="24" t="n"/>
      <c r="B499" s="21" t="n"/>
      <c r="C499" s="21" t="n"/>
      <c r="D499" s="21" t="n"/>
      <c r="E499" s="21" t="n"/>
      <c r="F499" s="28" t="n"/>
      <c r="G499" s="28" t="n"/>
      <c r="H499" s="26" t="n"/>
      <c r="I499" s="10">
        <f>IF(H499&lt;&gt;"",H499,IF(AND(F499&lt;&gt;"",G499&lt;&gt;""),ROUND((G499-F499)*1440,0),""))</f>
        <v/>
      </c>
      <c r="J499" s="26" t="n"/>
      <c r="K499" s="9">
        <f>IF(D499="","",IFERROR(VLOOKUP(D499,参数!$A$5:$C$24,2,0),""))</f>
        <v/>
      </c>
      <c r="L499" s="9">
        <f>IF(D499="","",IFERROR(VLOOKUP(D499,参数!$A$5:$C$24,3,0),""))</f>
        <v/>
      </c>
      <c r="M499" s="21" t="n"/>
      <c r="N499" s="21" t="n"/>
      <c r="O499" s="21" t="n"/>
    </row>
    <row r="500">
      <c r="A500" s="24" t="n"/>
      <c r="B500" s="21" t="n"/>
      <c r="C500" s="21" t="n"/>
      <c r="D500" s="21" t="n"/>
      <c r="E500" s="21" t="n"/>
      <c r="F500" s="28" t="n"/>
      <c r="G500" s="28" t="n"/>
      <c r="H500" s="26" t="n"/>
      <c r="I500" s="10">
        <f>IF(H500&lt;&gt;"",H500,IF(AND(F500&lt;&gt;"",G500&lt;&gt;""),ROUND((G500-F500)*1440,0),""))</f>
        <v/>
      </c>
      <c r="J500" s="26" t="n"/>
      <c r="K500" s="9">
        <f>IF(D500="","",IFERROR(VLOOKUP(D500,参数!$A$5:$C$24,2,0),""))</f>
        <v/>
      </c>
      <c r="L500" s="9">
        <f>IF(D500="","",IFERROR(VLOOKUP(D500,参数!$A$5:$C$24,3,0),""))</f>
        <v/>
      </c>
      <c r="M500" s="21" t="n"/>
      <c r="N500" s="21" t="n"/>
      <c r="O500" s="21" t="n"/>
    </row>
    <row r="501">
      <c r="A501" s="24" t="n"/>
      <c r="B501" s="21" t="n"/>
      <c r="C501" s="21" t="n"/>
      <c r="D501" s="21" t="n"/>
      <c r="E501" s="21" t="n"/>
      <c r="F501" s="28" t="n"/>
      <c r="G501" s="28" t="n"/>
      <c r="H501" s="26" t="n"/>
      <c r="I501" s="10">
        <f>IF(H501&lt;&gt;"",H501,IF(AND(F501&lt;&gt;"",G501&lt;&gt;""),ROUND((G501-F501)*1440,0),""))</f>
        <v/>
      </c>
      <c r="J501" s="26" t="n"/>
      <c r="K501" s="9">
        <f>IF(D501="","",IFERROR(VLOOKUP(D501,参数!$A$5:$C$24,2,0),""))</f>
        <v/>
      </c>
      <c r="L501" s="9">
        <f>IF(D501="","",IFERROR(VLOOKUP(D501,参数!$A$5:$C$24,3,0),""))</f>
        <v/>
      </c>
      <c r="M501" s="21" t="n"/>
      <c r="N501" s="21" t="n"/>
      <c r="O501" s="21" t="n"/>
    </row>
    <row r="502">
      <c r="A502" s="24" t="n"/>
      <c r="B502" s="21" t="n"/>
      <c r="C502" s="21" t="n"/>
      <c r="D502" s="21" t="n"/>
      <c r="E502" s="21" t="n"/>
      <c r="F502" s="28" t="n"/>
      <c r="G502" s="28" t="n"/>
      <c r="H502" s="26" t="n"/>
      <c r="I502" s="10">
        <f>IF(H502&lt;&gt;"",H502,IF(AND(F502&lt;&gt;"",G502&lt;&gt;""),ROUND((G502-F502)*1440,0),""))</f>
        <v/>
      </c>
      <c r="J502" s="26" t="n"/>
      <c r="K502" s="9">
        <f>IF(D502="","",IFERROR(VLOOKUP(D502,参数!$A$5:$C$24,2,0),""))</f>
        <v/>
      </c>
      <c r="L502" s="9">
        <f>IF(D502="","",IFERROR(VLOOKUP(D502,参数!$A$5:$C$24,3,0),""))</f>
        <v/>
      </c>
      <c r="M502" s="21" t="n"/>
      <c r="N502" s="21" t="n"/>
      <c r="O502" s="21" t="n"/>
    </row>
    <row r="503">
      <c r="A503" s="24" t="n"/>
      <c r="B503" s="21" t="n"/>
      <c r="C503" s="21" t="n"/>
      <c r="D503" s="21" t="n"/>
      <c r="E503" s="21" t="n"/>
      <c r="F503" s="28" t="n"/>
      <c r="G503" s="28" t="n"/>
      <c r="H503" s="26" t="n"/>
      <c r="I503" s="10">
        <f>IF(H503&lt;&gt;"",H503,IF(AND(F503&lt;&gt;"",G503&lt;&gt;""),ROUND((G503-F503)*1440,0),""))</f>
        <v/>
      </c>
      <c r="J503" s="26" t="n"/>
      <c r="K503" s="9">
        <f>IF(D503="","",IFERROR(VLOOKUP(D503,参数!$A$5:$C$24,2,0),""))</f>
        <v/>
      </c>
      <c r="L503" s="9">
        <f>IF(D503="","",IFERROR(VLOOKUP(D503,参数!$A$5:$C$24,3,0),""))</f>
        <v/>
      </c>
      <c r="M503" s="21" t="n"/>
      <c r="N503" s="21" t="n"/>
      <c r="O503" s="21" t="n"/>
    </row>
    <row r="504">
      <c r="A504" s="24" t="n"/>
      <c r="B504" s="21" t="n"/>
      <c r="C504" s="21" t="n"/>
      <c r="D504" s="21" t="n"/>
      <c r="E504" s="21" t="n"/>
      <c r="F504" s="28" t="n"/>
      <c r="G504" s="28" t="n"/>
      <c r="H504" s="26" t="n"/>
      <c r="I504" s="10">
        <f>IF(H504&lt;&gt;"",H504,IF(AND(F504&lt;&gt;"",G504&lt;&gt;""),ROUND((G504-F504)*1440,0),""))</f>
        <v/>
      </c>
      <c r="J504" s="26" t="n"/>
      <c r="K504" s="9">
        <f>IF(D504="","",IFERROR(VLOOKUP(D504,参数!$A$5:$C$24,2,0),""))</f>
        <v/>
      </c>
      <c r="L504" s="9">
        <f>IF(D504="","",IFERROR(VLOOKUP(D504,参数!$A$5:$C$24,3,0),""))</f>
        <v/>
      </c>
      <c r="M504" s="21" t="n"/>
      <c r="N504" s="21" t="n"/>
      <c r="O504" s="21" t="n"/>
    </row>
    <row r="505">
      <c r="A505" s="24" t="n"/>
      <c r="B505" s="21" t="n"/>
      <c r="C505" s="21" t="n"/>
      <c r="D505" s="21" t="n"/>
      <c r="E505" s="21" t="n"/>
      <c r="F505" s="28" t="n"/>
      <c r="G505" s="28" t="n"/>
      <c r="H505" s="26" t="n"/>
      <c r="I505" s="10">
        <f>IF(H505&lt;&gt;"",H505,IF(AND(F505&lt;&gt;"",G505&lt;&gt;""),ROUND((G505-F505)*1440,0),""))</f>
        <v/>
      </c>
      <c r="J505" s="26" t="n"/>
      <c r="K505" s="9">
        <f>IF(D505="","",IFERROR(VLOOKUP(D505,参数!$A$5:$C$24,2,0),""))</f>
        <v/>
      </c>
      <c r="L505" s="9">
        <f>IF(D505="","",IFERROR(VLOOKUP(D505,参数!$A$5:$C$24,3,0),""))</f>
        <v/>
      </c>
      <c r="M505" s="21" t="n"/>
      <c r="N505" s="21" t="n"/>
      <c r="O505" s="21" t="n"/>
    </row>
    <row r="506">
      <c r="A506" s="24" t="n"/>
      <c r="B506" s="21" t="n"/>
      <c r="C506" s="21" t="n"/>
      <c r="D506" s="21" t="n"/>
      <c r="E506" s="21" t="n"/>
      <c r="F506" s="28" t="n"/>
      <c r="G506" s="28" t="n"/>
      <c r="H506" s="26" t="n"/>
      <c r="I506" s="10">
        <f>IF(H506&lt;&gt;"",H506,IF(AND(F506&lt;&gt;"",G506&lt;&gt;""),ROUND((G506-F506)*1440,0),""))</f>
        <v/>
      </c>
      <c r="J506" s="26" t="n"/>
      <c r="K506" s="9">
        <f>IF(D506="","",IFERROR(VLOOKUP(D506,参数!$A$5:$C$24,2,0),""))</f>
        <v/>
      </c>
      <c r="L506" s="9">
        <f>IF(D506="","",IFERROR(VLOOKUP(D506,参数!$A$5:$C$24,3,0),""))</f>
        <v/>
      </c>
      <c r="M506" s="21" t="n"/>
      <c r="N506" s="21" t="n"/>
      <c r="O506" s="21" t="n"/>
    </row>
    <row r="507">
      <c r="A507" s="24" t="n"/>
      <c r="B507" s="21" t="n"/>
      <c r="C507" s="21" t="n"/>
      <c r="D507" s="21" t="n"/>
      <c r="E507" s="21" t="n"/>
      <c r="F507" s="28" t="n"/>
      <c r="G507" s="28" t="n"/>
      <c r="H507" s="26" t="n"/>
      <c r="I507" s="10">
        <f>IF(H507&lt;&gt;"",H507,IF(AND(F507&lt;&gt;"",G507&lt;&gt;""),ROUND((G507-F507)*1440,0),""))</f>
        <v/>
      </c>
      <c r="J507" s="26" t="n"/>
      <c r="K507" s="9">
        <f>IF(D507="","",IFERROR(VLOOKUP(D507,参数!$A$5:$C$24,2,0),""))</f>
        <v/>
      </c>
      <c r="L507" s="9">
        <f>IF(D507="","",IFERROR(VLOOKUP(D507,参数!$A$5:$C$24,3,0),""))</f>
        <v/>
      </c>
      <c r="M507" s="21" t="n"/>
      <c r="N507" s="21" t="n"/>
      <c r="O507" s="21" t="n"/>
    </row>
    <row r="508">
      <c r="A508" s="24" t="n"/>
      <c r="B508" s="21" t="n"/>
      <c r="C508" s="21" t="n"/>
      <c r="D508" s="21" t="n"/>
      <c r="E508" s="21" t="n"/>
      <c r="F508" s="28" t="n"/>
      <c r="G508" s="28" t="n"/>
      <c r="H508" s="26" t="n"/>
      <c r="I508" s="10">
        <f>IF(H508&lt;&gt;"",H508,IF(AND(F508&lt;&gt;"",G508&lt;&gt;""),ROUND((G508-F508)*1440,0),""))</f>
        <v/>
      </c>
      <c r="J508" s="26" t="n"/>
      <c r="K508" s="9">
        <f>IF(D508="","",IFERROR(VLOOKUP(D508,参数!$A$5:$C$24,2,0),""))</f>
        <v/>
      </c>
      <c r="L508" s="9">
        <f>IF(D508="","",IFERROR(VLOOKUP(D508,参数!$A$5:$C$24,3,0),""))</f>
        <v/>
      </c>
      <c r="M508" s="21" t="n"/>
      <c r="N508" s="21" t="n"/>
      <c r="O508" s="21" t="n"/>
    </row>
    <row r="509">
      <c r="A509" s="24" t="n"/>
      <c r="B509" s="21" t="n"/>
      <c r="C509" s="21" t="n"/>
      <c r="D509" s="21" t="n"/>
      <c r="E509" s="21" t="n"/>
      <c r="F509" s="28" t="n"/>
      <c r="G509" s="28" t="n"/>
      <c r="H509" s="26" t="n"/>
      <c r="I509" s="10">
        <f>IF(H509&lt;&gt;"",H509,IF(AND(F509&lt;&gt;"",G509&lt;&gt;""),ROUND((G509-F509)*1440,0),""))</f>
        <v/>
      </c>
      <c r="J509" s="26" t="n"/>
      <c r="K509" s="9">
        <f>IF(D509="","",IFERROR(VLOOKUP(D509,参数!$A$5:$C$24,2,0),""))</f>
        <v/>
      </c>
      <c r="L509" s="9">
        <f>IF(D509="","",IFERROR(VLOOKUP(D509,参数!$A$5:$C$24,3,0),""))</f>
        <v/>
      </c>
      <c r="M509" s="21" t="n"/>
      <c r="N509" s="21" t="n"/>
      <c r="O509" s="21" t="n"/>
    </row>
    <row r="510">
      <c r="A510" s="24" t="n"/>
      <c r="B510" s="21" t="n"/>
      <c r="C510" s="21" t="n"/>
      <c r="D510" s="21" t="n"/>
      <c r="E510" s="21" t="n"/>
      <c r="F510" s="28" t="n"/>
      <c r="G510" s="28" t="n"/>
      <c r="H510" s="26" t="n"/>
      <c r="I510" s="10">
        <f>IF(H510&lt;&gt;"",H510,IF(AND(F510&lt;&gt;"",G510&lt;&gt;""),ROUND((G510-F510)*1440,0),""))</f>
        <v/>
      </c>
      <c r="J510" s="26" t="n"/>
      <c r="K510" s="9">
        <f>IF(D510="","",IFERROR(VLOOKUP(D510,参数!$A$5:$C$24,2,0),""))</f>
        <v/>
      </c>
      <c r="L510" s="9">
        <f>IF(D510="","",IFERROR(VLOOKUP(D510,参数!$A$5:$C$24,3,0),""))</f>
        <v/>
      </c>
      <c r="M510" s="21" t="n"/>
      <c r="N510" s="21" t="n"/>
      <c r="O510" s="21" t="n"/>
    </row>
    <row r="511">
      <c r="A511" s="24" t="n"/>
      <c r="B511" s="21" t="n"/>
      <c r="C511" s="21" t="n"/>
      <c r="D511" s="21" t="n"/>
      <c r="E511" s="21" t="n"/>
      <c r="F511" s="28" t="n"/>
      <c r="G511" s="28" t="n"/>
      <c r="H511" s="26" t="n"/>
      <c r="I511" s="10">
        <f>IF(H511&lt;&gt;"",H511,IF(AND(F511&lt;&gt;"",G511&lt;&gt;""),ROUND((G511-F511)*1440,0),""))</f>
        <v/>
      </c>
      <c r="J511" s="26" t="n"/>
      <c r="K511" s="9">
        <f>IF(D511="","",IFERROR(VLOOKUP(D511,参数!$A$5:$C$24,2,0),""))</f>
        <v/>
      </c>
      <c r="L511" s="9">
        <f>IF(D511="","",IFERROR(VLOOKUP(D511,参数!$A$5:$C$24,3,0),""))</f>
        <v/>
      </c>
      <c r="M511" s="21" t="n"/>
      <c r="N511" s="21" t="n"/>
      <c r="O511" s="21" t="n"/>
    </row>
    <row r="512">
      <c r="A512" s="24" t="n"/>
      <c r="B512" s="21" t="n"/>
      <c r="C512" s="21" t="n"/>
      <c r="D512" s="21" t="n"/>
      <c r="E512" s="21" t="n"/>
      <c r="F512" s="28" t="n"/>
      <c r="G512" s="28" t="n"/>
      <c r="H512" s="26" t="n"/>
      <c r="I512" s="10">
        <f>IF(H512&lt;&gt;"",H512,IF(AND(F512&lt;&gt;"",G512&lt;&gt;""),ROUND((G512-F512)*1440,0),""))</f>
        <v/>
      </c>
      <c r="J512" s="26" t="n"/>
      <c r="K512" s="9">
        <f>IF(D512="","",IFERROR(VLOOKUP(D512,参数!$A$5:$C$24,2,0),""))</f>
        <v/>
      </c>
      <c r="L512" s="9">
        <f>IF(D512="","",IFERROR(VLOOKUP(D512,参数!$A$5:$C$24,3,0),""))</f>
        <v/>
      </c>
      <c r="M512" s="21" t="n"/>
      <c r="N512" s="21" t="n"/>
      <c r="O512" s="21" t="n"/>
    </row>
    <row r="513">
      <c r="A513" s="24" t="n"/>
      <c r="B513" s="21" t="n"/>
      <c r="C513" s="21" t="n"/>
      <c r="D513" s="21" t="n"/>
      <c r="E513" s="21" t="n"/>
      <c r="F513" s="28" t="n"/>
      <c r="G513" s="28" t="n"/>
      <c r="H513" s="26" t="n"/>
      <c r="I513" s="10">
        <f>IF(H513&lt;&gt;"",H513,IF(AND(F513&lt;&gt;"",G513&lt;&gt;""),ROUND((G513-F513)*1440,0),""))</f>
        <v/>
      </c>
      <c r="J513" s="26" t="n"/>
      <c r="K513" s="9">
        <f>IF(D513="","",IFERROR(VLOOKUP(D513,参数!$A$5:$C$24,2,0),""))</f>
        <v/>
      </c>
      <c r="L513" s="9">
        <f>IF(D513="","",IFERROR(VLOOKUP(D513,参数!$A$5:$C$24,3,0),""))</f>
        <v/>
      </c>
      <c r="M513" s="21" t="n"/>
      <c r="N513" s="21" t="n"/>
      <c r="O513" s="21" t="n"/>
    </row>
    <row r="514">
      <c r="A514" s="24" t="n"/>
      <c r="B514" s="21" t="n"/>
      <c r="C514" s="21" t="n"/>
      <c r="D514" s="21" t="n"/>
      <c r="E514" s="21" t="n"/>
      <c r="F514" s="28" t="n"/>
      <c r="G514" s="28" t="n"/>
      <c r="H514" s="26" t="n"/>
      <c r="I514" s="10">
        <f>IF(H514&lt;&gt;"",H514,IF(AND(F514&lt;&gt;"",G514&lt;&gt;""),ROUND((G514-F514)*1440,0),""))</f>
        <v/>
      </c>
      <c r="J514" s="26" t="n"/>
      <c r="K514" s="9">
        <f>IF(D514="","",IFERROR(VLOOKUP(D514,参数!$A$5:$C$24,2,0),""))</f>
        <v/>
      </c>
      <c r="L514" s="9">
        <f>IF(D514="","",IFERROR(VLOOKUP(D514,参数!$A$5:$C$24,3,0),""))</f>
        <v/>
      </c>
      <c r="M514" s="21" t="n"/>
      <c r="N514" s="21" t="n"/>
      <c r="O514" s="21" t="n"/>
    </row>
    <row r="515">
      <c r="A515" s="24" t="n"/>
      <c r="B515" s="21" t="n"/>
      <c r="C515" s="21" t="n"/>
      <c r="D515" s="21" t="n"/>
      <c r="E515" s="21" t="n"/>
      <c r="F515" s="28" t="n"/>
      <c r="G515" s="28" t="n"/>
      <c r="H515" s="26" t="n"/>
      <c r="I515" s="10">
        <f>IF(H515&lt;&gt;"",H515,IF(AND(F515&lt;&gt;"",G515&lt;&gt;""),ROUND((G515-F515)*1440,0),""))</f>
        <v/>
      </c>
      <c r="J515" s="26" t="n"/>
      <c r="K515" s="9">
        <f>IF(D515="","",IFERROR(VLOOKUP(D515,参数!$A$5:$C$24,2,0),""))</f>
        <v/>
      </c>
      <c r="L515" s="9">
        <f>IF(D515="","",IFERROR(VLOOKUP(D515,参数!$A$5:$C$24,3,0),""))</f>
        <v/>
      </c>
      <c r="M515" s="21" t="n"/>
      <c r="N515" s="21" t="n"/>
      <c r="O515" s="21" t="n"/>
    </row>
    <row r="516">
      <c r="A516" s="24" t="n"/>
      <c r="B516" s="21" t="n"/>
      <c r="C516" s="21" t="n"/>
      <c r="D516" s="21" t="n"/>
      <c r="E516" s="21" t="n"/>
      <c r="F516" s="28" t="n"/>
      <c r="G516" s="28" t="n"/>
      <c r="H516" s="26" t="n"/>
      <c r="I516" s="10">
        <f>IF(H516&lt;&gt;"",H516,IF(AND(F516&lt;&gt;"",G516&lt;&gt;""),ROUND((G516-F516)*1440,0),""))</f>
        <v/>
      </c>
      <c r="J516" s="26" t="n"/>
      <c r="K516" s="9">
        <f>IF(D516="","",IFERROR(VLOOKUP(D516,参数!$A$5:$C$24,2,0),""))</f>
        <v/>
      </c>
      <c r="L516" s="9">
        <f>IF(D516="","",IFERROR(VLOOKUP(D516,参数!$A$5:$C$24,3,0),""))</f>
        <v/>
      </c>
      <c r="M516" s="21" t="n"/>
      <c r="N516" s="21" t="n"/>
      <c r="O516" s="21" t="n"/>
    </row>
    <row r="517">
      <c r="A517" s="24" t="n"/>
      <c r="B517" s="21" t="n"/>
      <c r="C517" s="21" t="n"/>
      <c r="D517" s="21" t="n"/>
      <c r="E517" s="21" t="n"/>
      <c r="F517" s="28" t="n"/>
      <c r="G517" s="28" t="n"/>
      <c r="H517" s="26" t="n"/>
      <c r="I517" s="10">
        <f>IF(H517&lt;&gt;"",H517,IF(AND(F517&lt;&gt;"",G517&lt;&gt;""),ROUND((G517-F517)*1440,0),""))</f>
        <v/>
      </c>
      <c r="J517" s="26" t="n"/>
      <c r="K517" s="9">
        <f>IF(D517="","",IFERROR(VLOOKUP(D517,参数!$A$5:$C$24,2,0),""))</f>
        <v/>
      </c>
      <c r="L517" s="9">
        <f>IF(D517="","",IFERROR(VLOOKUP(D517,参数!$A$5:$C$24,3,0),""))</f>
        <v/>
      </c>
      <c r="M517" s="21" t="n"/>
      <c r="N517" s="21" t="n"/>
      <c r="O517" s="21" t="n"/>
    </row>
    <row r="518">
      <c r="A518" s="24" t="n"/>
      <c r="B518" s="21" t="n"/>
      <c r="C518" s="21" t="n"/>
      <c r="D518" s="21" t="n"/>
      <c r="E518" s="21" t="n"/>
      <c r="F518" s="28" t="n"/>
      <c r="G518" s="28" t="n"/>
      <c r="H518" s="26" t="n"/>
      <c r="I518" s="10">
        <f>IF(H518&lt;&gt;"",H518,IF(AND(F518&lt;&gt;"",G518&lt;&gt;""),ROUND((G518-F518)*1440,0),""))</f>
        <v/>
      </c>
      <c r="J518" s="26" t="n"/>
      <c r="K518" s="9">
        <f>IF(D518="","",IFERROR(VLOOKUP(D518,参数!$A$5:$C$24,2,0),""))</f>
        <v/>
      </c>
      <c r="L518" s="9">
        <f>IF(D518="","",IFERROR(VLOOKUP(D518,参数!$A$5:$C$24,3,0),""))</f>
        <v/>
      </c>
      <c r="M518" s="21" t="n"/>
      <c r="N518" s="21" t="n"/>
      <c r="O518" s="21" t="n"/>
    </row>
    <row r="519">
      <c r="A519" s="24" t="n"/>
      <c r="B519" s="21" t="n"/>
      <c r="C519" s="21" t="n"/>
      <c r="D519" s="21" t="n"/>
      <c r="E519" s="21" t="n"/>
      <c r="F519" s="28" t="n"/>
      <c r="G519" s="28" t="n"/>
      <c r="H519" s="26" t="n"/>
      <c r="I519" s="10">
        <f>IF(H519&lt;&gt;"",H519,IF(AND(F519&lt;&gt;"",G519&lt;&gt;""),ROUND((G519-F519)*1440,0),""))</f>
        <v/>
      </c>
      <c r="J519" s="26" t="n"/>
      <c r="K519" s="9">
        <f>IF(D519="","",IFERROR(VLOOKUP(D519,参数!$A$5:$C$24,2,0),""))</f>
        <v/>
      </c>
      <c r="L519" s="9">
        <f>IF(D519="","",IFERROR(VLOOKUP(D519,参数!$A$5:$C$24,3,0),""))</f>
        <v/>
      </c>
      <c r="M519" s="21" t="n"/>
      <c r="N519" s="21" t="n"/>
      <c r="O519" s="21" t="n"/>
    </row>
    <row r="520">
      <c r="A520" s="24" t="n"/>
      <c r="B520" s="21" t="n"/>
      <c r="C520" s="21" t="n"/>
      <c r="D520" s="21" t="n"/>
      <c r="E520" s="21" t="n"/>
      <c r="F520" s="28" t="n"/>
      <c r="G520" s="28" t="n"/>
      <c r="H520" s="26" t="n"/>
      <c r="I520" s="10">
        <f>IF(H520&lt;&gt;"",H520,IF(AND(F520&lt;&gt;"",G520&lt;&gt;""),ROUND((G520-F520)*1440,0),""))</f>
        <v/>
      </c>
      <c r="J520" s="26" t="n"/>
      <c r="K520" s="9">
        <f>IF(D520="","",IFERROR(VLOOKUP(D520,参数!$A$5:$C$24,2,0),""))</f>
        <v/>
      </c>
      <c r="L520" s="9">
        <f>IF(D520="","",IFERROR(VLOOKUP(D520,参数!$A$5:$C$24,3,0),""))</f>
        <v/>
      </c>
      <c r="M520" s="21" t="n"/>
      <c r="N520" s="21" t="n"/>
      <c r="O520" s="21" t="n"/>
    </row>
    <row r="521">
      <c r="A521" s="24" t="n"/>
      <c r="B521" s="21" t="n"/>
      <c r="C521" s="21" t="n"/>
      <c r="D521" s="21" t="n"/>
      <c r="E521" s="21" t="n"/>
      <c r="F521" s="28" t="n"/>
      <c r="G521" s="28" t="n"/>
      <c r="H521" s="26" t="n"/>
      <c r="I521" s="10">
        <f>IF(H521&lt;&gt;"",H521,IF(AND(F521&lt;&gt;"",G521&lt;&gt;""),ROUND((G521-F521)*1440,0),""))</f>
        <v/>
      </c>
      <c r="J521" s="26" t="n"/>
      <c r="K521" s="9">
        <f>IF(D521="","",IFERROR(VLOOKUP(D521,参数!$A$5:$C$24,2,0),""))</f>
        <v/>
      </c>
      <c r="L521" s="9">
        <f>IF(D521="","",IFERROR(VLOOKUP(D521,参数!$A$5:$C$24,3,0),""))</f>
        <v/>
      </c>
      <c r="M521" s="21" t="n"/>
      <c r="N521" s="21" t="n"/>
      <c r="O521" s="21" t="n"/>
    </row>
    <row r="522">
      <c r="A522" s="24" t="n"/>
      <c r="B522" s="21" t="n"/>
      <c r="C522" s="21" t="n"/>
      <c r="D522" s="21" t="n"/>
      <c r="E522" s="21" t="n"/>
      <c r="F522" s="28" t="n"/>
      <c r="G522" s="28" t="n"/>
      <c r="H522" s="26" t="n"/>
      <c r="I522" s="10">
        <f>IF(H522&lt;&gt;"",H522,IF(AND(F522&lt;&gt;"",G522&lt;&gt;""),ROUND((G522-F522)*1440,0),""))</f>
        <v/>
      </c>
      <c r="J522" s="26" t="n"/>
      <c r="K522" s="9">
        <f>IF(D522="","",IFERROR(VLOOKUP(D522,参数!$A$5:$C$24,2,0),""))</f>
        <v/>
      </c>
      <c r="L522" s="9">
        <f>IF(D522="","",IFERROR(VLOOKUP(D522,参数!$A$5:$C$24,3,0),""))</f>
        <v/>
      </c>
      <c r="M522" s="21" t="n"/>
      <c r="N522" s="21" t="n"/>
      <c r="O522" s="21" t="n"/>
    </row>
    <row r="523">
      <c r="A523" s="24" t="n"/>
      <c r="B523" s="21" t="n"/>
      <c r="C523" s="21" t="n"/>
      <c r="D523" s="21" t="n"/>
      <c r="E523" s="21" t="n"/>
      <c r="F523" s="28" t="n"/>
      <c r="G523" s="28" t="n"/>
      <c r="H523" s="26" t="n"/>
      <c r="I523" s="10">
        <f>IF(H523&lt;&gt;"",H523,IF(AND(F523&lt;&gt;"",G523&lt;&gt;""),ROUND((G523-F523)*1440,0),""))</f>
        <v/>
      </c>
      <c r="J523" s="26" t="n"/>
      <c r="K523" s="9">
        <f>IF(D523="","",IFERROR(VLOOKUP(D523,参数!$A$5:$C$24,2,0),""))</f>
        <v/>
      </c>
      <c r="L523" s="9">
        <f>IF(D523="","",IFERROR(VLOOKUP(D523,参数!$A$5:$C$24,3,0),""))</f>
        <v/>
      </c>
      <c r="M523" s="21" t="n"/>
      <c r="N523" s="21" t="n"/>
      <c r="O523" s="21" t="n"/>
    </row>
    <row r="524">
      <c r="A524" s="24" t="n"/>
      <c r="B524" s="21" t="n"/>
      <c r="C524" s="21" t="n"/>
      <c r="D524" s="21" t="n"/>
      <c r="E524" s="21" t="n"/>
      <c r="F524" s="28" t="n"/>
      <c r="G524" s="28" t="n"/>
      <c r="H524" s="26" t="n"/>
      <c r="I524" s="10">
        <f>IF(H524&lt;&gt;"",H524,IF(AND(F524&lt;&gt;"",G524&lt;&gt;""),ROUND((G524-F524)*1440,0),""))</f>
        <v/>
      </c>
      <c r="J524" s="26" t="n"/>
      <c r="K524" s="9">
        <f>IF(D524="","",IFERROR(VLOOKUP(D524,参数!$A$5:$C$24,2,0),""))</f>
        <v/>
      </c>
      <c r="L524" s="9">
        <f>IF(D524="","",IFERROR(VLOOKUP(D524,参数!$A$5:$C$24,3,0),""))</f>
        <v/>
      </c>
      <c r="M524" s="21" t="n"/>
      <c r="N524" s="21" t="n"/>
      <c r="O524" s="21" t="n"/>
    </row>
    <row r="525">
      <c r="A525" s="24" t="n"/>
      <c r="B525" s="21" t="n"/>
      <c r="C525" s="21" t="n"/>
      <c r="D525" s="21" t="n"/>
      <c r="E525" s="21" t="n"/>
      <c r="F525" s="28" t="n"/>
      <c r="G525" s="28" t="n"/>
      <c r="H525" s="26" t="n"/>
      <c r="I525" s="10">
        <f>IF(H525&lt;&gt;"",H525,IF(AND(F525&lt;&gt;"",G525&lt;&gt;""),ROUND((G525-F525)*1440,0),""))</f>
        <v/>
      </c>
      <c r="J525" s="26" t="n"/>
      <c r="K525" s="9">
        <f>IF(D525="","",IFERROR(VLOOKUP(D525,参数!$A$5:$C$24,2,0),""))</f>
        <v/>
      </c>
      <c r="L525" s="9">
        <f>IF(D525="","",IFERROR(VLOOKUP(D525,参数!$A$5:$C$24,3,0),""))</f>
        <v/>
      </c>
      <c r="M525" s="21" t="n"/>
      <c r="N525" s="21" t="n"/>
      <c r="O525" s="21" t="n"/>
    </row>
    <row r="526">
      <c r="A526" s="24" t="n"/>
      <c r="B526" s="21" t="n"/>
      <c r="C526" s="21" t="n"/>
      <c r="D526" s="21" t="n"/>
      <c r="E526" s="21" t="n"/>
      <c r="F526" s="28" t="n"/>
      <c r="G526" s="28" t="n"/>
      <c r="H526" s="26" t="n"/>
      <c r="I526" s="10">
        <f>IF(H526&lt;&gt;"",H526,IF(AND(F526&lt;&gt;"",G526&lt;&gt;""),ROUND((G526-F526)*1440,0),""))</f>
        <v/>
      </c>
      <c r="J526" s="26" t="n"/>
      <c r="K526" s="9">
        <f>IF(D526="","",IFERROR(VLOOKUP(D526,参数!$A$5:$C$24,2,0),""))</f>
        <v/>
      </c>
      <c r="L526" s="9">
        <f>IF(D526="","",IFERROR(VLOOKUP(D526,参数!$A$5:$C$24,3,0),""))</f>
        <v/>
      </c>
      <c r="M526" s="21" t="n"/>
      <c r="N526" s="21" t="n"/>
      <c r="O526" s="21" t="n"/>
    </row>
    <row r="527">
      <c r="A527" s="24" t="n"/>
      <c r="B527" s="21" t="n"/>
      <c r="C527" s="21" t="n"/>
      <c r="D527" s="21" t="n"/>
      <c r="E527" s="21" t="n"/>
      <c r="F527" s="28" t="n"/>
      <c r="G527" s="28" t="n"/>
      <c r="H527" s="26" t="n"/>
      <c r="I527" s="10">
        <f>IF(H527&lt;&gt;"",H527,IF(AND(F527&lt;&gt;"",G527&lt;&gt;""),ROUND((G527-F527)*1440,0),""))</f>
        <v/>
      </c>
      <c r="J527" s="26" t="n"/>
      <c r="K527" s="9">
        <f>IF(D527="","",IFERROR(VLOOKUP(D527,参数!$A$5:$C$24,2,0),""))</f>
        <v/>
      </c>
      <c r="L527" s="9">
        <f>IF(D527="","",IFERROR(VLOOKUP(D527,参数!$A$5:$C$24,3,0),""))</f>
        <v/>
      </c>
      <c r="M527" s="21" t="n"/>
      <c r="N527" s="21" t="n"/>
      <c r="O527" s="21" t="n"/>
    </row>
    <row r="528">
      <c r="A528" s="24" t="n"/>
      <c r="B528" s="21" t="n"/>
      <c r="C528" s="21" t="n"/>
      <c r="D528" s="21" t="n"/>
      <c r="E528" s="21" t="n"/>
      <c r="F528" s="28" t="n"/>
      <c r="G528" s="28" t="n"/>
      <c r="H528" s="26" t="n"/>
      <c r="I528" s="10">
        <f>IF(H528&lt;&gt;"",H528,IF(AND(F528&lt;&gt;"",G528&lt;&gt;""),ROUND((G528-F528)*1440,0),""))</f>
        <v/>
      </c>
      <c r="J528" s="26" t="n"/>
      <c r="K528" s="9">
        <f>IF(D528="","",IFERROR(VLOOKUP(D528,参数!$A$5:$C$24,2,0),""))</f>
        <v/>
      </c>
      <c r="L528" s="9">
        <f>IF(D528="","",IFERROR(VLOOKUP(D528,参数!$A$5:$C$24,3,0),""))</f>
        <v/>
      </c>
      <c r="M528" s="21" t="n"/>
      <c r="N528" s="21" t="n"/>
      <c r="O528" s="21" t="n"/>
    </row>
    <row r="529">
      <c r="A529" s="24" t="n"/>
      <c r="B529" s="21" t="n"/>
      <c r="C529" s="21" t="n"/>
      <c r="D529" s="21" t="n"/>
      <c r="E529" s="21" t="n"/>
      <c r="F529" s="28" t="n"/>
      <c r="G529" s="28" t="n"/>
      <c r="H529" s="26" t="n"/>
      <c r="I529" s="10">
        <f>IF(H529&lt;&gt;"",H529,IF(AND(F529&lt;&gt;"",G529&lt;&gt;""),ROUND((G529-F529)*1440,0),""))</f>
        <v/>
      </c>
      <c r="J529" s="26" t="n"/>
      <c r="K529" s="9">
        <f>IF(D529="","",IFERROR(VLOOKUP(D529,参数!$A$5:$C$24,2,0),""))</f>
        <v/>
      </c>
      <c r="L529" s="9">
        <f>IF(D529="","",IFERROR(VLOOKUP(D529,参数!$A$5:$C$24,3,0),""))</f>
        <v/>
      </c>
      <c r="M529" s="21" t="n"/>
      <c r="N529" s="21" t="n"/>
      <c r="O529" s="21" t="n"/>
    </row>
    <row r="530">
      <c r="A530" s="24" t="n"/>
      <c r="B530" s="21" t="n"/>
      <c r="C530" s="21" t="n"/>
      <c r="D530" s="21" t="n"/>
      <c r="E530" s="21" t="n"/>
      <c r="F530" s="28" t="n"/>
      <c r="G530" s="28" t="n"/>
      <c r="H530" s="26" t="n"/>
      <c r="I530" s="10">
        <f>IF(H530&lt;&gt;"",H530,IF(AND(F530&lt;&gt;"",G530&lt;&gt;""),ROUND((G530-F530)*1440,0),""))</f>
        <v/>
      </c>
      <c r="J530" s="26" t="n"/>
      <c r="K530" s="9">
        <f>IF(D530="","",IFERROR(VLOOKUP(D530,参数!$A$5:$C$24,2,0),""))</f>
        <v/>
      </c>
      <c r="L530" s="9">
        <f>IF(D530="","",IFERROR(VLOOKUP(D530,参数!$A$5:$C$24,3,0),""))</f>
        <v/>
      </c>
      <c r="M530" s="21" t="n"/>
      <c r="N530" s="21" t="n"/>
      <c r="O530" s="21" t="n"/>
    </row>
    <row r="531">
      <c r="A531" s="24" t="n"/>
      <c r="B531" s="21" t="n"/>
      <c r="C531" s="21" t="n"/>
      <c r="D531" s="21" t="n"/>
      <c r="E531" s="21" t="n"/>
      <c r="F531" s="28" t="n"/>
      <c r="G531" s="28" t="n"/>
      <c r="H531" s="26" t="n"/>
      <c r="I531" s="10">
        <f>IF(H531&lt;&gt;"",H531,IF(AND(F531&lt;&gt;"",G531&lt;&gt;""),ROUND((G531-F531)*1440,0),""))</f>
        <v/>
      </c>
      <c r="J531" s="26" t="n"/>
      <c r="K531" s="9">
        <f>IF(D531="","",IFERROR(VLOOKUP(D531,参数!$A$5:$C$24,2,0),""))</f>
        <v/>
      </c>
      <c r="L531" s="9">
        <f>IF(D531="","",IFERROR(VLOOKUP(D531,参数!$A$5:$C$24,3,0),""))</f>
        <v/>
      </c>
      <c r="M531" s="21" t="n"/>
      <c r="N531" s="21" t="n"/>
      <c r="O531" s="21" t="n"/>
    </row>
    <row r="532">
      <c r="A532" s="24" t="n"/>
      <c r="B532" s="21" t="n"/>
      <c r="C532" s="21" t="n"/>
      <c r="D532" s="21" t="n"/>
      <c r="E532" s="21" t="n"/>
      <c r="F532" s="28" t="n"/>
      <c r="G532" s="28" t="n"/>
      <c r="H532" s="26" t="n"/>
      <c r="I532" s="10">
        <f>IF(H532&lt;&gt;"",H532,IF(AND(F532&lt;&gt;"",G532&lt;&gt;""),ROUND((G532-F532)*1440,0),""))</f>
        <v/>
      </c>
      <c r="J532" s="26" t="n"/>
      <c r="K532" s="9">
        <f>IF(D532="","",IFERROR(VLOOKUP(D532,参数!$A$5:$C$24,2,0),""))</f>
        <v/>
      </c>
      <c r="L532" s="9">
        <f>IF(D532="","",IFERROR(VLOOKUP(D532,参数!$A$5:$C$24,3,0),""))</f>
        <v/>
      </c>
      <c r="M532" s="21" t="n"/>
      <c r="N532" s="21" t="n"/>
      <c r="O532" s="21" t="n"/>
    </row>
    <row r="533">
      <c r="A533" s="24" t="n"/>
      <c r="B533" s="21" t="n"/>
      <c r="C533" s="21" t="n"/>
      <c r="D533" s="21" t="n"/>
      <c r="E533" s="21" t="n"/>
      <c r="F533" s="28" t="n"/>
      <c r="G533" s="28" t="n"/>
      <c r="H533" s="26" t="n"/>
      <c r="I533" s="10">
        <f>IF(H533&lt;&gt;"",H533,IF(AND(F533&lt;&gt;"",G533&lt;&gt;""),ROUND((G533-F533)*1440,0),""))</f>
        <v/>
      </c>
      <c r="J533" s="26" t="n"/>
      <c r="K533" s="9">
        <f>IF(D533="","",IFERROR(VLOOKUP(D533,参数!$A$5:$C$24,2,0),""))</f>
        <v/>
      </c>
      <c r="L533" s="9">
        <f>IF(D533="","",IFERROR(VLOOKUP(D533,参数!$A$5:$C$24,3,0),""))</f>
        <v/>
      </c>
      <c r="M533" s="21" t="n"/>
      <c r="N533" s="21" t="n"/>
      <c r="O533" s="21" t="n"/>
    </row>
    <row r="534">
      <c r="A534" s="24" t="n"/>
      <c r="B534" s="21" t="n"/>
      <c r="C534" s="21" t="n"/>
      <c r="D534" s="21" t="n"/>
      <c r="E534" s="21" t="n"/>
      <c r="F534" s="28" t="n"/>
      <c r="G534" s="28" t="n"/>
      <c r="H534" s="26" t="n"/>
      <c r="I534" s="10">
        <f>IF(H534&lt;&gt;"",H534,IF(AND(F534&lt;&gt;"",G534&lt;&gt;""),ROUND((G534-F534)*1440,0),""))</f>
        <v/>
      </c>
      <c r="J534" s="26" t="n"/>
      <c r="K534" s="9">
        <f>IF(D534="","",IFERROR(VLOOKUP(D534,参数!$A$5:$C$24,2,0),""))</f>
        <v/>
      </c>
      <c r="L534" s="9">
        <f>IF(D534="","",IFERROR(VLOOKUP(D534,参数!$A$5:$C$24,3,0),""))</f>
        <v/>
      </c>
      <c r="M534" s="21" t="n"/>
      <c r="N534" s="21" t="n"/>
      <c r="O534" s="21" t="n"/>
    </row>
    <row r="535">
      <c r="A535" s="24" t="n"/>
      <c r="B535" s="21" t="n"/>
      <c r="C535" s="21" t="n"/>
      <c r="D535" s="21" t="n"/>
      <c r="E535" s="21" t="n"/>
      <c r="F535" s="28" t="n"/>
      <c r="G535" s="28" t="n"/>
      <c r="H535" s="26" t="n"/>
      <c r="I535" s="10">
        <f>IF(H535&lt;&gt;"",H535,IF(AND(F535&lt;&gt;"",G535&lt;&gt;""),ROUND((G535-F535)*1440,0),""))</f>
        <v/>
      </c>
      <c r="J535" s="26" t="n"/>
      <c r="K535" s="9">
        <f>IF(D535="","",IFERROR(VLOOKUP(D535,参数!$A$5:$C$24,2,0),""))</f>
        <v/>
      </c>
      <c r="L535" s="9">
        <f>IF(D535="","",IFERROR(VLOOKUP(D535,参数!$A$5:$C$24,3,0),""))</f>
        <v/>
      </c>
      <c r="M535" s="21" t="n"/>
      <c r="N535" s="21" t="n"/>
      <c r="O535" s="21" t="n"/>
    </row>
    <row r="536">
      <c r="A536" s="24" t="n"/>
      <c r="B536" s="21" t="n"/>
      <c r="C536" s="21" t="n"/>
      <c r="D536" s="21" t="n"/>
      <c r="E536" s="21" t="n"/>
      <c r="F536" s="28" t="n"/>
      <c r="G536" s="28" t="n"/>
      <c r="H536" s="26" t="n"/>
      <c r="I536" s="10">
        <f>IF(H536&lt;&gt;"",H536,IF(AND(F536&lt;&gt;"",G536&lt;&gt;""),ROUND((G536-F536)*1440,0),""))</f>
        <v/>
      </c>
      <c r="J536" s="26" t="n"/>
      <c r="K536" s="9">
        <f>IF(D536="","",IFERROR(VLOOKUP(D536,参数!$A$5:$C$24,2,0),""))</f>
        <v/>
      </c>
      <c r="L536" s="9">
        <f>IF(D536="","",IFERROR(VLOOKUP(D536,参数!$A$5:$C$24,3,0),""))</f>
        <v/>
      </c>
      <c r="M536" s="21" t="n"/>
      <c r="N536" s="21" t="n"/>
      <c r="O536" s="21" t="n"/>
    </row>
    <row r="537">
      <c r="A537" s="24" t="n"/>
      <c r="B537" s="21" t="n"/>
      <c r="C537" s="21" t="n"/>
      <c r="D537" s="21" t="n"/>
      <c r="E537" s="21" t="n"/>
      <c r="F537" s="28" t="n"/>
      <c r="G537" s="28" t="n"/>
      <c r="H537" s="26" t="n"/>
      <c r="I537" s="10">
        <f>IF(H537&lt;&gt;"",H537,IF(AND(F537&lt;&gt;"",G537&lt;&gt;""),ROUND((G537-F537)*1440,0),""))</f>
        <v/>
      </c>
      <c r="J537" s="26" t="n"/>
      <c r="K537" s="9">
        <f>IF(D537="","",IFERROR(VLOOKUP(D537,参数!$A$5:$C$24,2,0),""))</f>
        <v/>
      </c>
      <c r="L537" s="9">
        <f>IF(D537="","",IFERROR(VLOOKUP(D537,参数!$A$5:$C$24,3,0),""))</f>
        <v/>
      </c>
      <c r="M537" s="21" t="n"/>
      <c r="N537" s="21" t="n"/>
      <c r="O537" s="21" t="n"/>
    </row>
    <row r="538">
      <c r="A538" s="24" t="n"/>
      <c r="B538" s="21" t="n"/>
      <c r="C538" s="21" t="n"/>
      <c r="D538" s="21" t="n"/>
      <c r="E538" s="21" t="n"/>
      <c r="F538" s="28" t="n"/>
      <c r="G538" s="28" t="n"/>
      <c r="H538" s="26" t="n"/>
      <c r="I538" s="10">
        <f>IF(H538&lt;&gt;"",H538,IF(AND(F538&lt;&gt;"",G538&lt;&gt;""),ROUND((G538-F538)*1440,0),""))</f>
        <v/>
      </c>
      <c r="J538" s="26" t="n"/>
      <c r="K538" s="9">
        <f>IF(D538="","",IFERROR(VLOOKUP(D538,参数!$A$5:$C$24,2,0),""))</f>
        <v/>
      </c>
      <c r="L538" s="9">
        <f>IF(D538="","",IFERROR(VLOOKUP(D538,参数!$A$5:$C$24,3,0),""))</f>
        <v/>
      </c>
      <c r="M538" s="21" t="n"/>
      <c r="N538" s="21" t="n"/>
      <c r="O538" s="21" t="n"/>
    </row>
    <row r="539">
      <c r="A539" s="24" t="n"/>
      <c r="B539" s="21" t="n"/>
      <c r="C539" s="21" t="n"/>
      <c r="D539" s="21" t="n"/>
      <c r="E539" s="21" t="n"/>
      <c r="F539" s="28" t="n"/>
      <c r="G539" s="28" t="n"/>
      <c r="H539" s="26" t="n"/>
      <c r="I539" s="10">
        <f>IF(H539&lt;&gt;"",H539,IF(AND(F539&lt;&gt;"",G539&lt;&gt;""),ROUND((G539-F539)*1440,0),""))</f>
        <v/>
      </c>
      <c r="J539" s="26" t="n"/>
      <c r="K539" s="9">
        <f>IF(D539="","",IFERROR(VLOOKUP(D539,参数!$A$5:$C$24,2,0),""))</f>
        <v/>
      </c>
      <c r="L539" s="9">
        <f>IF(D539="","",IFERROR(VLOOKUP(D539,参数!$A$5:$C$24,3,0),""))</f>
        <v/>
      </c>
      <c r="M539" s="21" t="n"/>
      <c r="N539" s="21" t="n"/>
      <c r="O539" s="21" t="n"/>
    </row>
    <row r="540">
      <c r="A540" s="24" t="n"/>
      <c r="B540" s="21" t="n"/>
      <c r="C540" s="21" t="n"/>
      <c r="D540" s="21" t="n"/>
      <c r="E540" s="21" t="n"/>
      <c r="F540" s="28" t="n"/>
      <c r="G540" s="28" t="n"/>
      <c r="H540" s="26" t="n"/>
      <c r="I540" s="10">
        <f>IF(H540&lt;&gt;"",H540,IF(AND(F540&lt;&gt;"",G540&lt;&gt;""),ROUND((G540-F540)*1440,0),""))</f>
        <v/>
      </c>
      <c r="J540" s="26" t="n"/>
      <c r="K540" s="9">
        <f>IF(D540="","",IFERROR(VLOOKUP(D540,参数!$A$5:$C$24,2,0),""))</f>
        <v/>
      </c>
      <c r="L540" s="9">
        <f>IF(D540="","",IFERROR(VLOOKUP(D540,参数!$A$5:$C$24,3,0),""))</f>
        <v/>
      </c>
      <c r="M540" s="21" t="n"/>
      <c r="N540" s="21" t="n"/>
      <c r="O540" s="21" t="n"/>
    </row>
    <row r="541">
      <c r="A541" s="24" t="n"/>
      <c r="B541" s="21" t="n"/>
      <c r="C541" s="21" t="n"/>
      <c r="D541" s="21" t="n"/>
      <c r="E541" s="21" t="n"/>
      <c r="F541" s="28" t="n"/>
      <c r="G541" s="28" t="n"/>
      <c r="H541" s="26" t="n"/>
      <c r="I541" s="10">
        <f>IF(H541&lt;&gt;"",H541,IF(AND(F541&lt;&gt;"",G541&lt;&gt;""),ROUND((G541-F541)*1440,0),""))</f>
        <v/>
      </c>
      <c r="J541" s="26" t="n"/>
      <c r="K541" s="9">
        <f>IF(D541="","",IFERROR(VLOOKUP(D541,参数!$A$5:$C$24,2,0),""))</f>
        <v/>
      </c>
      <c r="L541" s="9">
        <f>IF(D541="","",IFERROR(VLOOKUP(D541,参数!$A$5:$C$24,3,0),""))</f>
        <v/>
      </c>
      <c r="M541" s="21" t="n"/>
      <c r="N541" s="21" t="n"/>
      <c r="O541" s="21" t="n"/>
    </row>
    <row r="542">
      <c r="A542" s="24" t="n"/>
      <c r="B542" s="21" t="n"/>
      <c r="C542" s="21" t="n"/>
      <c r="D542" s="21" t="n"/>
      <c r="E542" s="21" t="n"/>
      <c r="F542" s="28" t="n"/>
      <c r="G542" s="28" t="n"/>
      <c r="H542" s="26" t="n"/>
      <c r="I542" s="10">
        <f>IF(H542&lt;&gt;"",H542,IF(AND(F542&lt;&gt;"",G542&lt;&gt;""),ROUND((G542-F542)*1440,0),""))</f>
        <v/>
      </c>
      <c r="J542" s="26" t="n"/>
      <c r="K542" s="9">
        <f>IF(D542="","",IFERROR(VLOOKUP(D542,参数!$A$5:$C$24,2,0),""))</f>
        <v/>
      </c>
      <c r="L542" s="9">
        <f>IF(D542="","",IFERROR(VLOOKUP(D542,参数!$A$5:$C$24,3,0),""))</f>
        <v/>
      </c>
      <c r="M542" s="21" t="n"/>
      <c r="N542" s="21" t="n"/>
      <c r="O542" s="21" t="n"/>
    </row>
    <row r="543">
      <c r="A543" s="24" t="n"/>
      <c r="B543" s="21" t="n"/>
      <c r="C543" s="21" t="n"/>
      <c r="D543" s="21" t="n"/>
      <c r="E543" s="21" t="n"/>
      <c r="F543" s="28" t="n"/>
      <c r="G543" s="28" t="n"/>
      <c r="H543" s="26" t="n"/>
      <c r="I543" s="10">
        <f>IF(H543&lt;&gt;"",H543,IF(AND(F543&lt;&gt;"",G543&lt;&gt;""),ROUND((G543-F543)*1440,0),""))</f>
        <v/>
      </c>
      <c r="J543" s="26" t="n"/>
      <c r="K543" s="9">
        <f>IF(D543="","",IFERROR(VLOOKUP(D543,参数!$A$5:$C$24,2,0),""))</f>
        <v/>
      </c>
      <c r="L543" s="9">
        <f>IF(D543="","",IFERROR(VLOOKUP(D543,参数!$A$5:$C$24,3,0),""))</f>
        <v/>
      </c>
      <c r="M543" s="21" t="n"/>
      <c r="N543" s="21" t="n"/>
      <c r="O543" s="21" t="n"/>
    </row>
    <row r="544">
      <c r="A544" s="24" t="n"/>
      <c r="B544" s="21" t="n"/>
      <c r="C544" s="21" t="n"/>
      <c r="D544" s="21" t="n"/>
      <c r="E544" s="21" t="n"/>
      <c r="F544" s="28" t="n"/>
      <c r="G544" s="28" t="n"/>
      <c r="H544" s="26" t="n"/>
      <c r="I544" s="10">
        <f>IF(H544&lt;&gt;"",H544,IF(AND(F544&lt;&gt;"",G544&lt;&gt;""),ROUND((G544-F544)*1440,0),""))</f>
        <v/>
      </c>
      <c r="J544" s="26" t="n"/>
      <c r="K544" s="9">
        <f>IF(D544="","",IFERROR(VLOOKUP(D544,参数!$A$5:$C$24,2,0),""))</f>
        <v/>
      </c>
      <c r="L544" s="9">
        <f>IF(D544="","",IFERROR(VLOOKUP(D544,参数!$A$5:$C$24,3,0),""))</f>
        <v/>
      </c>
      <c r="M544" s="21" t="n"/>
      <c r="N544" s="21" t="n"/>
      <c r="O544" s="21" t="n"/>
    </row>
    <row r="545">
      <c r="A545" s="24" t="n"/>
      <c r="B545" s="21" t="n"/>
      <c r="C545" s="21" t="n"/>
      <c r="D545" s="21" t="n"/>
      <c r="E545" s="21" t="n"/>
      <c r="F545" s="28" t="n"/>
      <c r="G545" s="28" t="n"/>
      <c r="H545" s="26" t="n"/>
      <c r="I545" s="10">
        <f>IF(H545&lt;&gt;"",H545,IF(AND(F545&lt;&gt;"",G545&lt;&gt;""),ROUND((G545-F545)*1440,0),""))</f>
        <v/>
      </c>
      <c r="J545" s="26" t="n"/>
      <c r="K545" s="9">
        <f>IF(D545="","",IFERROR(VLOOKUP(D545,参数!$A$5:$C$24,2,0),""))</f>
        <v/>
      </c>
      <c r="L545" s="9">
        <f>IF(D545="","",IFERROR(VLOOKUP(D545,参数!$A$5:$C$24,3,0),""))</f>
        <v/>
      </c>
      <c r="M545" s="21" t="n"/>
      <c r="N545" s="21" t="n"/>
      <c r="O545" s="21" t="n"/>
    </row>
    <row r="546">
      <c r="A546" s="24" t="n"/>
      <c r="B546" s="21" t="n"/>
      <c r="C546" s="21" t="n"/>
      <c r="D546" s="21" t="n"/>
      <c r="E546" s="21" t="n"/>
      <c r="F546" s="28" t="n"/>
      <c r="G546" s="28" t="n"/>
      <c r="H546" s="26" t="n"/>
      <c r="I546" s="10">
        <f>IF(H546&lt;&gt;"",H546,IF(AND(F546&lt;&gt;"",G546&lt;&gt;""),ROUND((G546-F546)*1440,0),""))</f>
        <v/>
      </c>
      <c r="J546" s="26" t="n"/>
      <c r="K546" s="9">
        <f>IF(D546="","",IFERROR(VLOOKUP(D546,参数!$A$5:$C$24,2,0),""))</f>
        <v/>
      </c>
      <c r="L546" s="9">
        <f>IF(D546="","",IFERROR(VLOOKUP(D546,参数!$A$5:$C$24,3,0),""))</f>
        <v/>
      </c>
      <c r="M546" s="21" t="n"/>
      <c r="N546" s="21" t="n"/>
      <c r="O546" s="21" t="n"/>
    </row>
    <row r="547">
      <c r="A547" s="24" t="n"/>
      <c r="B547" s="21" t="n"/>
      <c r="C547" s="21" t="n"/>
      <c r="D547" s="21" t="n"/>
      <c r="E547" s="21" t="n"/>
      <c r="F547" s="28" t="n"/>
      <c r="G547" s="28" t="n"/>
      <c r="H547" s="26" t="n"/>
      <c r="I547" s="10">
        <f>IF(H547&lt;&gt;"",H547,IF(AND(F547&lt;&gt;"",G547&lt;&gt;""),ROUND((G547-F547)*1440,0),""))</f>
        <v/>
      </c>
      <c r="J547" s="26" t="n"/>
      <c r="K547" s="9">
        <f>IF(D547="","",IFERROR(VLOOKUP(D547,参数!$A$5:$C$24,2,0),""))</f>
        <v/>
      </c>
      <c r="L547" s="9">
        <f>IF(D547="","",IFERROR(VLOOKUP(D547,参数!$A$5:$C$24,3,0),""))</f>
        <v/>
      </c>
      <c r="M547" s="21" t="n"/>
      <c r="N547" s="21" t="n"/>
      <c r="O547" s="21" t="n"/>
    </row>
    <row r="548">
      <c r="A548" s="24" t="n"/>
      <c r="B548" s="21" t="n"/>
      <c r="C548" s="21" t="n"/>
      <c r="D548" s="21" t="n"/>
      <c r="E548" s="21" t="n"/>
      <c r="F548" s="28" t="n"/>
      <c r="G548" s="28" t="n"/>
      <c r="H548" s="26" t="n"/>
      <c r="I548" s="10">
        <f>IF(H548&lt;&gt;"",H548,IF(AND(F548&lt;&gt;"",G548&lt;&gt;""),ROUND((G548-F548)*1440,0),""))</f>
        <v/>
      </c>
      <c r="J548" s="26" t="n"/>
      <c r="K548" s="9">
        <f>IF(D548="","",IFERROR(VLOOKUP(D548,参数!$A$5:$C$24,2,0),""))</f>
        <v/>
      </c>
      <c r="L548" s="9">
        <f>IF(D548="","",IFERROR(VLOOKUP(D548,参数!$A$5:$C$24,3,0),""))</f>
        <v/>
      </c>
      <c r="M548" s="21" t="n"/>
      <c r="N548" s="21" t="n"/>
      <c r="O548" s="21" t="n"/>
    </row>
    <row r="549">
      <c r="A549" s="24" t="n"/>
      <c r="B549" s="21" t="n"/>
      <c r="C549" s="21" t="n"/>
      <c r="D549" s="21" t="n"/>
      <c r="E549" s="21" t="n"/>
      <c r="F549" s="28" t="n"/>
      <c r="G549" s="28" t="n"/>
      <c r="H549" s="26" t="n"/>
      <c r="I549" s="10">
        <f>IF(H549&lt;&gt;"",H549,IF(AND(F549&lt;&gt;"",G549&lt;&gt;""),ROUND((G549-F549)*1440,0),""))</f>
        <v/>
      </c>
      <c r="J549" s="26" t="n"/>
      <c r="K549" s="9">
        <f>IF(D549="","",IFERROR(VLOOKUP(D549,参数!$A$5:$C$24,2,0),""))</f>
        <v/>
      </c>
      <c r="L549" s="9">
        <f>IF(D549="","",IFERROR(VLOOKUP(D549,参数!$A$5:$C$24,3,0),""))</f>
        <v/>
      </c>
      <c r="M549" s="21" t="n"/>
      <c r="N549" s="21" t="n"/>
      <c r="O549" s="21" t="n"/>
    </row>
    <row r="550">
      <c r="A550" s="24" t="n"/>
      <c r="B550" s="21" t="n"/>
      <c r="C550" s="21" t="n"/>
      <c r="D550" s="21" t="n"/>
      <c r="E550" s="21" t="n"/>
      <c r="F550" s="28" t="n"/>
      <c r="G550" s="28" t="n"/>
      <c r="H550" s="26" t="n"/>
      <c r="I550" s="10">
        <f>IF(H550&lt;&gt;"",H550,IF(AND(F550&lt;&gt;"",G550&lt;&gt;""),ROUND((G550-F550)*1440,0),""))</f>
        <v/>
      </c>
      <c r="J550" s="26" t="n"/>
      <c r="K550" s="9">
        <f>IF(D550="","",IFERROR(VLOOKUP(D550,参数!$A$5:$C$24,2,0),""))</f>
        <v/>
      </c>
      <c r="L550" s="9">
        <f>IF(D550="","",IFERROR(VLOOKUP(D550,参数!$A$5:$C$24,3,0),""))</f>
        <v/>
      </c>
      <c r="M550" s="21" t="n"/>
      <c r="N550" s="21" t="n"/>
      <c r="O550" s="21" t="n"/>
    </row>
    <row r="551">
      <c r="A551" s="24" t="n"/>
      <c r="B551" s="21" t="n"/>
      <c r="C551" s="21" t="n"/>
      <c r="D551" s="21" t="n"/>
      <c r="E551" s="21" t="n"/>
      <c r="F551" s="28" t="n"/>
      <c r="G551" s="28" t="n"/>
      <c r="H551" s="26" t="n"/>
      <c r="I551" s="10">
        <f>IF(H551&lt;&gt;"",H551,IF(AND(F551&lt;&gt;"",G551&lt;&gt;""),ROUND((G551-F551)*1440,0),""))</f>
        <v/>
      </c>
      <c r="J551" s="26" t="n"/>
      <c r="K551" s="9">
        <f>IF(D551="","",IFERROR(VLOOKUP(D551,参数!$A$5:$C$24,2,0),""))</f>
        <v/>
      </c>
      <c r="L551" s="9">
        <f>IF(D551="","",IFERROR(VLOOKUP(D551,参数!$A$5:$C$24,3,0),""))</f>
        <v/>
      </c>
      <c r="M551" s="21" t="n"/>
      <c r="N551" s="21" t="n"/>
      <c r="O551" s="21" t="n"/>
    </row>
    <row r="552">
      <c r="A552" s="24" t="n"/>
      <c r="B552" s="21" t="n"/>
      <c r="C552" s="21" t="n"/>
      <c r="D552" s="21" t="n"/>
      <c r="E552" s="21" t="n"/>
      <c r="F552" s="28" t="n"/>
      <c r="G552" s="28" t="n"/>
      <c r="H552" s="26" t="n"/>
      <c r="I552" s="10">
        <f>IF(H552&lt;&gt;"",H552,IF(AND(F552&lt;&gt;"",G552&lt;&gt;""),ROUND((G552-F552)*1440,0),""))</f>
        <v/>
      </c>
      <c r="J552" s="26" t="n"/>
      <c r="K552" s="9">
        <f>IF(D552="","",IFERROR(VLOOKUP(D552,参数!$A$5:$C$24,2,0),""))</f>
        <v/>
      </c>
      <c r="L552" s="9">
        <f>IF(D552="","",IFERROR(VLOOKUP(D552,参数!$A$5:$C$24,3,0),""))</f>
        <v/>
      </c>
      <c r="M552" s="21" t="n"/>
      <c r="N552" s="21" t="n"/>
      <c r="O552" s="21" t="n"/>
    </row>
    <row r="553">
      <c r="A553" s="24" t="n"/>
      <c r="B553" s="21" t="n"/>
      <c r="C553" s="21" t="n"/>
      <c r="D553" s="21" t="n"/>
      <c r="E553" s="21" t="n"/>
      <c r="F553" s="28" t="n"/>
      <c r="G553" s="28" t="n"/>
      <c r="H553" s="26" t="n"/>
      <c r="I553" s="10">
        <f>IF(H553&lt;&gt;"",H553,IF(AND(F553&lt;&gt;"",G553&lt;&gt;""),ROUND((G553-F553)*1440,0),""))</f>
        <v/>
      </c>
      <c r="J553" s="26" t="n"/>
      <c r="K553" s="9">
        <f>IF(D553="","",IFERROR(VLOOKUP(D553,参数!$A$5:$C$24,2,0),""))</f>
        <v/>
      </c>
      <c r="L553" s="9">
        <f>IF(D553="","",IFERROR(VLOOKUP(D553,参数!$A$5:$C$24,3,0),""))</f>
        <v/>
      </c>
      <c r="M553" s="21" t="n"/>
      <c r="N553" s="21" t="n"/>
      <c r="O553" s="21" t="n"/>
    </row>
    <row r="554">
      <c r="A554" s="24" t="n"/>
      <c r="B554" s="21" t="n"/>
      <c r="C554" s="21" t="n"/>
      <c r="D554" s="21" t="n"/>
      <c r="E554" s="21" t="n"/>
      <c r="F554" s="28" t="n"/>
      <c r="G554" s="28" t="n"/>
      <c r="H554" s="26" t="n"/>
      <c r="I554" s="10">
        <f>IF(H554&lt;&gt;"",H554,IF(AND(F554&lt;&gt;"",G554&lt;&gt;""),ROUND((G554-F554)*1440,0),""))</f>
        <v/>
      </c>
      <c r="J554" s="26" t="n"/>
      <c r="K554" s="9">
        <f>IF(D554="","",IFERROR(VLOOKUP(D554,参数!$A$5:$C$24,2,0),""))</f>
        <v/>
      </c>
      <c r="L554" s="9">
        <f>IF(D554="","",IFERROR(VLOOKUP(D554,参数!$A$5:$C$24,3,0),""))</f>
        <v/>
      </c>
      <c r="M554" s="21" t="n"/>
      <c r="N554" s="21" t="n"/>
      <c r="O554" s="21" t="n"/>
    </row>
    <row r="555">
      <c r="A555" s="24" t="n"/>
      <c r="B555" s="21" t="n"/>
      <c r="C555" s="21" t="n"/>
      <c r="D555" s="21" t="n"/>
      <c r="E555" s="21" t="n"/>
      <c r="F555" s="28" t="n"/>
      <c r="G555" s="28" t="n"/>
      <c r="H555" s="26" t="n"/>
      <c r="I555" s="10">
        <f>IF(H555&lt;&gt;"",H555,IF(AND(F555&lt;&gt;"",G555&lt;&gt;""),ROUND((G555-F555)*1440,0),""))</f>
        <v/>
      </c>
      <c r="J555" s="26" t="n"/>
      <c r="K555" s="9">
        <f>IF(D555="","",IFERROR(VLOOKUP(D555,参数!$A$5:$C$24,2,0),""))</f>
        <v/>
      </c>
      <c r="L555" s="9">
        <f>IF(D555="","",IFERROR(VLOOKUP(D555,参数!$A$5:$C$24,3,0),""))</f>
        <v/>
      </c>
      <c r="M555" s="21" t="n"/>
      <c r="N555" s="21" t="n"/>
      <c r="O555" s="21" t="n"/>
    </row>
    <row r="556">
      <c r="A556" s="24" t="n"/>
      <c r="B556" s="21" t="n"/>
      <c r="C556" s="21" t="n"/>
      <c r="D556" s="21" t="n"/>
      <c r="E556" s="21" t="n"/>
      <c r="F556" s="28" t="n"/>
      <c r="G556" s="28" t="n"/>
      <c r="H556" s="26" t="n"/>
      <c r="I556" s="10">
        <f>IF(H556&lt;&gt;"",H556,IF(AND(F556&lt;&gt;"",G556&lt;&gt;""),ROUND((G556-F556)*1440,0),""))</f>
        <v/>
      </c>
      <c r="J556" s="26" t="n"/>
      <c r="K556" s="9">
        <f>IF(D556="","",IFERROR(VLOOKUP(D556,参数!$A$5:$C$24,2,0),""))</f>
        <v/>
      </c>
      <c r="L556" s="9">
        <f>IF(D556="","",IFERROR(VLOOKUP(D556,参数!$A$5:$C$24,3,0),""))</f>
        <v/>
      </c>
      <c r="M556" s="21" t="n"/>
      <c r="N556" s="21" t="n"/>
      <c r="O556" s="21" t="n"/>
    </row>
    <row r="557">
      <c r="A557" s="24" t="n"/>
      <c r="B557" s="21" t="n"/>
      <c r="C557" s="21" t="n"/>
      <c r="D557" s="21" t="n"/>
      <c r="E557" s="21" t="n"/>
      <c r="F557" s="28" t="n"/>
      <c r="G557" s="28" t="n"/>
      <c r="H557" s="26" t="n"/>
      <c r="I557" s="10">
        <f>IF(H557&lt;&gt;"",H557,IF(AND(F557&lt;&gt;"",G557&lt;&gt;""),ROUND((G557-F557)*1440,0),""))</f>
        <v/>
      </c>
      <c r="J557" s="26" t="n"/>
      <c r="K557" s="9">
        <f>IF(D557="","",IFERROR(VLOOKUP(D557,参数!$A$5:$C$24,2,0),""))</f>
        <v/>
      </c>
      <c r="L557" s="9">
        <f>IF(D557="","",IFERROR(VLOOKUP(D557,参数!$A$5:$C$24,3,0),""))</f>
        <v/>
      </c>
      <c r="M557" s="21" t="n"/>
      <c r="N557" s="21" t="n"/>
      <c r="O557" s="21" t="n"/>
    </row>
    <row r="558">
      <c r="A558" s="24" t="n"/>
      <c r="B558" s="21" t="n"/>
      <c r="C558" s="21" t="n"/>
      <c r="D558" s="21" t="n"/>
      <c r="E558" s="21" t="n"/>
      <c r="F558" s="28" t="n"/>
      <c r="G558" s="28" t="n"/>
      <c r="H558" s="26" t="n"/>
      <c r="I558" s="10">
        <f>IF(H558&lt;&gt;"",H558,IF(AND(F558&lt;&gt;"",G558&lt;&gt;""),ROUND((G558-F558)*1440,0),""))</f>
        <v/>
      </c>
      <c r="J558" s="26" t="n"/>
      <c r="K558" s="9">
        <f>IF(D558="","",IFERROR(VLOOKUP(D558,参数!$A$5:$C$24,2,0),""))</f>
        <v/>
      </c>
      <c r="L558" s="9">
        <f>IF(D558="","",IFERROR(VLOOKUP(D558,参数!$A$5:$C$24,3,0),""))</f>
        <v/>
      </c>
      <c r="M558" s="21" t="n"/>
      <c r="N558" s="21" t="n"/>
      <c r="O558" s="21" t="n"/>
    </row>
    <row r="559">
      <c r="A559" s="24" t="n"/>
      <c r="B559" s="21" t="n"/>
      <c r="C559" s="21" t="n"/>
      <c r="D559" s="21" t="n"/>
      <c r="E559" s="21" t="n"/>
      <c r="F559" s="28" t="n"/>
      <c r="G559" s="28" t="n"/>
      <c r="H559" s="26" t="n"/>
      <c r="I559" s="10">
        <f>IF(H559&lt;&gt;"",H559,IF(AND(F559&lt;&gt;"",G559&lt;&gt;""),ROUND((G559-F559)*1440,0),""))</f>
        <v/>
      </c>
      <c r="J559" s="26" t="n"/>
      <c r="K559" s="9">
        <f>IF(D559="","",IFERROR(VLOOKUP(D559,参数!$A$5:$C$24,2,0),""))</f>
        <v/>
      </c>
      <c r="L559" s="9">
        <f>IF(D559="","",IFERROR(VLOOKUP(D559,参数!$A$5:$C$24,3,0),""))</f>
        <v/>
      </c>
      <c r="M559" s="21" t="n"/>
      <c r="N559" s="21" t="n"/>
      <c r="O559" s="21" t="n"/>
    </row>
    <row r="560">
      <c r="A560" s="24" t="n"/>
      <c r="B560" s="21" t="n"/>
      <c r="C560" s="21" t="n"/>
      <c r="D560" s="21" t="n"/>
      <c r="E560" s="21" t="n"/>
      <c r="F560" s="28" t="n"/>
      <c r="G560" s="28" t="n"/>
      <c r="H560" s="26" t="n"/>
      <c r="I560" s="10">
        <f>IF(H560&lt;&gt;"",H560,IF(AND(F560&lt;&gt;"",G560&lt;&gt;""),ROUND((G560-F560)*1440,0),""))</f>
        <v/>
      </c>
      <c r="J560" s="26" t="n"/>
      <c r="K560" s="9">
        <f>IF(D560="","",IFERROR(VLOOKUP(D560,参数!$A$5:$C$24,2,0),""))</f>
        <v/>
      </c>
      <c r="L560" s="9">
        <f>IF(D560="","",IFERROR(VLOOKUP(D560,参数!$A$5:$C$24,3,0),""))</f>
        <v/>
      </c>
      <c r="M560" s="21" t="n"/>
      <c r="N560" s="21" t="n"/>
      <c r="O560" s="21" t="n"/>
    </row>
    <row r="561">
      <c r="A561" s="24" t="n"/>
      <c r="B561" s="21" t="n"/>
      <c r="C561" s="21" t="n"/>
      <c r="D561" s="21" t="n"/>
      <c r="E561" s="21" t="n"/>
      <c r="F561" s="28" t="n"/>
      <c r="G561" s="28" t="n"/>
      <c r="H561" s="26" t="n"/>
      <c r="I561" s="10">
        <f>IF(H561&lt;&gt;"",H561,IF(AND(F561&lt;&gt;"",G561&lt;&gt;""),ROUND((G561-F561)*1440,0),""))</f>
        <v/>
      </c>
      <c r="J561" s="26" t="n"/>
      <c r="K561" s="9">
        <f>IF(D561="","",IFERROR(VLOOKUP(D561,参数!$A$5:$C$24,2,0),""))</f>
        <v/>
      </c>
      <c r="L561" s="9">
        <f>IF(D561="","",IFERROR(VLOOKUP(D561,参数!$A$5:$C$24,3,0),""))</f>
        <v/>
      </c>
      <c r="M561" s="21" t="n"/>
      <c r="N561" s="21" t="n"/>
      <c r="O561" s="21" t="n"/>
    </row>
    <row r="562">
      <c r="A562" s="24" t="n"/>
      <c r="B562" s="21" t="n"/>
      <c r="C562" s="21" t="n"/>
      <c r="D562" s="21" t="n"/>
      <c r="E562" s="21" t="n"/>
      <c r="F562" s="28" t="n"/>
      <c r="G562" s="28" t="n"/>
      <c r="H562" s="26" t="n"/>
      <c r="I562" s="10">
        <f>IF(H562&lt;&gt;"",H562,IF(AND(F562&lt;&gt;"",G562&lt;&gt;""),ROUND((G562-F562)*1440,0),""))</f>
        <v/>
      </c>
      <c r="J562" s="26" t="n"/>
      <c r="K562" s="9">
        <f>IF(D562="","",IFERROR(VLOOKUP(D562,参数!$A$5:$C$24,2,0),""))</f>
        <v/>
      </c>
      <c r="L562" s="9">
        <f>IF(D562="","",IFERROR(VLOOKUP(D562,参数!$A$5:$C$24,3,0),""))</f>
        <v/>
      </c>
      <c r="M562" s="21" t="n"/>
      <c r="N562" s="21" t="n"/>
      <c r="O562" s="21" t="n"/>
    </row>
    <row r="563">
      <c r="A563" s="24" t="n"/>
      <c r="B563" s="21" t="n"/>
      <c r="C563" s="21" t="n"/>
      <c r="D563" s="21" t="n"/>
      <c r="E563" s="21" t="n"/>
      <c r="F563" s="28" t="n"/>
      <c r="G563" s="28" t="n"/>
      <c r="H563" s="26" t="n"/>
      <c r="I563" s="10">
        <f>IF(H563&lt;&gt;"",H563,IF(AND(F563&lt;&gt;"",G563&lt;&gt;""),ROUND((G563-F563)*1440,0),""))</f>
        <v/>
      </c>
      <c r="J563" s="26" t="n"/>
      <c r="K563" s="9">
        <f>IF(D563="","",IFERROR(VLOOKUP(D563,参数!$A$5:$C$24,2,0),""))</f>
        <v/>
      </c>
      <c r="L563" s="9">
        <f>IF(D563="","",IFERROR(VLOOKUP(D563,参数!$A$5:$C$24,3,0),""))</f>
        <v/>
      </c>
      <c r="M563" s="21" t="n"/>
      <c r="N563" s="21" t="n"/>
      <c r="O563" s="21" t="n"/>
    </row>
    <row r="564">
      <c r="A564" s="24" t="n"/>
      <c r="B564" s="21" t="n"/>
      <c r="C564" s="21" t="n"/>
      <c r="D564" s="21" t="n"/>
      <c r="E564" s="21" t="n"/>
      <c r="F564" s="28" t="n"/>
      <c r="G564" s="28" t="n"/>
      <c r="H564" s="26" t="n"/>
      <c r="I564" s="10">
        <f>IF(H564&lt;&gt;"",H564,IF(AND(F564&lt;&gt;"",G564&lt;&gt;""),ROUND((G564-F564)*1440,0),""))</f>
        <v/>
      </c>
      <c r="J564" s="26" t="n"/>
      <c r="K564" s="9">
        <f>IF(D564="","",IFERROR(VLOOKUP(D564,参数!$A$5:$C$24,2,0),""))</f>
        <v/>
      </c>
      <c r="L564" s="9">
        <f>IF(D564="","",IFERROR(VLOOKUP(D564,参数!$A$5:$C$24,3,0),""))</f>
        <v/>
      </c>
      <c r="M564" s="21" t="n"/>
      <c r="N564" s="21" t="n"/>
      <c r="O564" s="21" t="n"/>
    </row>
    <row r="565">
      <c r="A565" s="24" t="n"/>
      <c r="B565" s="21" t="n"/>
      <c r="C565" s="21" t="n"/>
      <c r="D565" s="21" t="n"/>
      <c r="E565" s="21" t="n"/>
      <c r="F565" s="28" t="n"/>
      <c r="G565" s="28" t="n"/>
      <c r="H565" s="26" t="n"/>
      <c r="I565" s="10">
        <f>IF(H565&lt;&gt;"",H565,IF(AND(F565&lt;&gt;"",G565&lt;&gt;""),ROUND((G565-F565)*1440,0),""))</f>
        <v/>
      </c>
      <c r="J565" s="26" t="n"/>
      <c r="K565" s="9">
        <f>IF(D565="","",IFERROR(VLOOKUP(D565,参数!$A$5:$C$24,2,0),""))</f>
        <v/>
      </c>
      <c r="L565" s="9">
        <f>IF(D565="","",IFERROR(VLOOKUP(D565,参数!$A$5:$C$24,3,0),""))</f>
        <v/>
      </c>
      <c r="M565" s="21" t="n"/>
      <c r="N565" s="21" t="n"/>
      <c r="O565" s="21" t="n"/>
    </row>
    <row r="566">
      <c r="A566" s="24" t="n"/>
      <c r="B566" s="21" t="n"/>
      <c r="C566" s="21" t="n"/>
      <c r="D566" s="21" t="n"/>
      <c r="E566" s="21" t="n"/>
      <c r="F566" s="28" t="n"/>
      <c r="G566" s="28" t="n"/>
      <c r="H566" s="26" t="n"/>
      <c r="I566" s="10">
        <f>IF(H566&lt;&gt;"",H566,IF(AND(F566&lt;&gt;"",G566&lt;&gt;""),ROUND((G566-F566)*1440,0),""))</f>
        <v/>
      </c>
      <c r="J566" s="26" t="n"/>
      <c r="K566" s="9">
        <f>IF(D566="","",IFERROR(VLOOKUP(D566,参数!$A$5:$C$24,2,0),""))</f>
        <v/>
      </c>
      <c r="L566" s="9">
        <f>IF(D566="","",IFERROR(VLOOKUP(D566,参数!$A$5:$C$24,3,0),""))</f>
        <v/>
      </c>
      <c r="M566" s="21" t="n"/>
      <c r="N566" s="21" t="n"/>
      <c r="O566" s="21" t="n"/>
    </row>
    <row r="567">
      <c r="A567" s="24" t="n"/>
      <c r="B567" s="21" t="n"/>
      <c r="C567" s="21" t="n"/>
      <c r="D567" s="21" t="n"/>
      <c r="E567" s="21" t="n"/>
      <c r="F567" s="28" t="n"/>
      <c r="G567" s="28" t="n"/>
      <c r="H567" s="26" t="n"/>
      <c r="I567" s="10">
        <f>IF(H567&lt;&gt;"",H567,IF(AND(F567&lt;&gt;"",G567&lt;&gt;""),ROUND((G567-F567)*1440,0),""))</f>
        <v/>
      </c>
      <c r="J567" s="26" t="n"/>
      <c r="K567" s="9">
        <f>IF(D567="","",IFERROR(VLOOKUP(D567,参数!$A$5:$C$24,2,0),""))</f>
        <v/>
      </c>
      <c r="L567" s="9">
        <f>IF(D567="","",IFERROR(VLOOKUP(D567,参数!$A$5:$C$24,3,0),""))</f>
        <v/>
      </c>
      <c r="M567" s="21" t="n"/>
      <c r="N567" s="21" t="n"/>
      <c r="O567" s="21" t="n"/>
    </row>
    <row r="568">
      <c r="A568" s="24" t="n"/>
      <c r="B568" s="21" t="n"/>
      <c r="C568" s="21" t="n"/>
      <c r="D568" s="21" t="n"/>
      <c r="E568" s="21" t="n"/>
      <c r="F568" s="28" t="n"/>
      <c r="G568" s="28" t="n"/>
      <c r="H568" s="26" t="n"/>
      <c r="I568" s="10">
        <f>IF(H568&lt;&gt;"",H568,IF(AND(F568&lt;&gt;"",G568&lt;&gt;""),ROUND((G568-F568)*1440,0),""))</f>
        <v/>
      </c>
      <c r="J568" s="26" t="n"/>
      <c r="K568" s="9">
        <f>IF(D568="","",IFERROR(VLOOKUP(D568,参数!$A$5:$C$24,2,0),""))</f>
        <v/>
      </c>
      <c r="L568" s="9">
        <f>IF(D568="","",IFERROR(VLOOKUP(D568,参数!$A$5:$C$24,3,0),""))</f>
        <v/>
      </c>
      <c r="M568" s="21" t="n"/>
      <c r="N568" s="21" t="n"/>
      <c r="O568" s="21" t="n"/>
    </row>
    <row r="569">
      <c r="A569" s="24" t="n"/>
      <c r="B569" s="21" t="n"/>
      <c r="C569" s="21" t="n"/>
      <c r="D569" s="21" t="n"/>
      <c r="E569" s="21" t="n"/>
      <c r="F569" s="28" t="n"/>
      <c r="G569" s="28" t="n"/>
      <c r="H569" s="26" t="n"/>
      <c r="I569" s="10">
        <f>IF(H569&lt;&gt;"",H569,IF(AND(F569&lt;&gt;"",G569&lt;&gt;""),ROUND((G569-F569)*1440,0),""))</f>
        <v/>
      </c>
      <c r="J569" s="26" t="n"/>
      <c r="K569" s="9">
        <f>IF(D569="","",IFERROR(VLOOKUP(D569,参数!$A$5:$C$24,2,0),""))</f>
        <v/>
      </c>
      <c r="L569" s="9">
        <f>IF(D569="","",IFERROR(VLOOKUP(D569,参数!$A$5:$C$24,3,0),""))</f>
        <v/>
      </c>
      <c r="M569" s="21" t="n"/>
      <c r="N569" s="21" t="n"/>
      <c r="O569" s="21" t="n"/>
    </row>
    <row r="570">
      <c r="A570" s="24" t="n"/>
      <c r="B570" s="21" t="n"/>
      <c r="C570" s="21" t="n"/>
      <c r="D570" s="21" t="n"/>
      <c r="E570" s="21" t="n"/>
      <c r="F570" s="28" t="n"/>
      <c r="G570" s="28" t="n"/>
      <c r="H570" s="26" t="n"/>
      <c r="I570" s="10">
        <f>IF(H570&lt;&gt;"",H570,IF(AND(F570&lt;&gt;"",G570&lt;&gt;""),ROUND((G570-F570)*1440,0),""))</f>
        <v/>
      </c>
      <c r="J570" s="26" t="n"/>
      <c r="K570" s="9">
        <f>IF(D570="","",IFERROR(VLOOKUP(D570,参数!$A$5:$C$24,2,0),""))</f>
        <v/>
      </c>
      <c r="L570" s="9">
        <f>IF(D570="","",IFERROR(VLOOKUP(D570,参数!$A$5:$C$24,3,0),""))</f>
        <v/>
      </c>
      <c r="M570" s="21" t="n"/>
      <c r="N570" s="21" t="n"/>
      <c r="O570" s="21" t="n"/>
    </row>
    <row r="571">
      <c r="A571" s="24" t="n"/>
      <c r="B571" s="21" t="n"/>
      <c r="C571" s="21" t="n"/>
      <c r="D571" s="21" t="n"/>
      <c r="E571" s="21" t="n"/>
      <c r="F571" s="28" t="n"/>
      <c r="G571" s="28" t="n"/>
      <c r="H571" s="26" t="n"/>
      <c r="I571" s="10">
        <f>IF(H571&lt;&gt;"",H571,IF(AND(F571&lt;&gt;"",G571&lt;&gt;""),ROUND((G571-F571)*1440,0),""))</f>
        <v/>
      </c>
      <c r="J571" s="26" t="n"/>
      <c r="K571" s="9">
        <f>IF(D571="","",IFERROR(VLOOKUP(D571,参数!$A$5:$C$24,2,0),""))</f>
        <v/>
      </c>
      <c r="L571" s="9">
        <f>IF(D571="","",IFERROR(VLOOKUP(D571,参数!$A$5:$C$24,3,0),""))</f>
        <v/>
      </c>
      <c r="M571" s="21" t="n"/>
      <c r="N571" s="21" t="n"/>
      <c r="O571" s="21" t="n"/>
    </row>
    <row r="572">
      <c r="A572" s="24" t="n"/>
      <c r="B572" s="21" t="n"/>
      <c r="C572" s="21" t="n"/>
      <c r="D572" s="21" t="n"/>
      <c r="E572" s="21" t="n"/>
      <c r="F572" s="28" t="n"/>
      <c r="G572" s="28" t="n"/>
      <c r="H572" s="26" t="n"/>
      <c r="I572" s="10">
        <f>IF(H572&lt;&gt;"",H572,IF(AND(F572&lt;&gt;"",G572&lt;&gt;""),ROUND((G572-F572)*1440,0),""))</f>
        <v/>
      </c>
      <c r="J572" s="26" t="n"/>
      <c r="K572" s="9">
        <f>IF(D572="","",IFERROR(VLOOKUP(D572,参数!$A$5:$C$24,2,0),""))</f>
        <v/>
      </c>
      <c r="L572" s="9">
        <f>IF(D572="","",IFERROR(VLOOKUP(D572,参数!$A$5:$C$24,3,0),""))</f>
        <v/>
      </c>
      <c r="M572" s="21" t="n"/>
      <c r="N572" s="21" t="n"/>
      <c r="O572" s="21" t="n"/>
    </row>
    <row r="573">
      <c r="A573" s="24" t="n"/>
      <c r="B573" s="21" t="n"/>
      <c r="C573" s="21" t="n"/>
      <c r="D573" s="21" t="n"/>
      <c r="E573" s="21" t="n"/>
      <c r="F573" s="28" t="n"/>
      <c r="G573" s="28" t="n"/>
      <c r="H573" s="26" t="n"/>
      <c r="I573" s="10">
        <f>IF(H573&lt;&gt;"",H573,IF(AND(F573&lt;&gt;"",G573&lt;&gt;""),ROUND((G573-F573)*1440,0),""))</f>
        <v/>
      </c>
      <c r="J573" s="26" t="n"/>
      <c r="K573" s="9">
        <f>IF(D573="","",IFERROR(VLOOKUP(D573,参数!$A$5:$C$24,2,0),""))</f>
        <v/>
      </c>
      <c r="L573" s="9">
        <f>IF(D573="","",IFERROR(VLOOKUP(D573,参数!$A$5:$C$24,3,0),""))</f>
        <v/>
      </c>
      <c r="M573" s="21" t="n"/>
      <c r="N573" s="21" t="n"/>
      <c r="O573" s="21" t="n"/>
    </row>
    <row r="574">
      <c r="A574" s="24" t="n"/>
      <c r="B574" s="21" t="n"/>
      <c r="C574" s="21" t="n"/>
      <c r="D574" s="21" t="n"/>
      <c r="E574" s="21" t="n"/>
      <c r="F574" s="28" t="n"/>
      <c r="G574" s="28" t="n"/>
      <c r="H574" s="26" t="n"/>
      <c r="I574" s="10">
        <f>IF(H574&lt;&gt;"",H574,IF(AND(F574&lt;&gt;"",G574&lt;&gt;""),ROUND((G574-F574)*1440,0),""))</f>
        <v/>
      </c>
      <c r="J574" s="26" t="n"/>
      <c r="K574" s="9">
        <f>IF(D574="","",IFERROR(VLOOKUP(D574,参数!$A$5:$C$24,2,0),""))</f>
        <v/>
      </c>
      <c r="L574" s="9">
        <f>IF(D574="","",IFERROR(VLOOKUP(D574,参数!$A$5:$C$24,3,0),""))</f>
        <v/>
      </c>
      <c r="M574" s="21" t="n"/>
      <c r="N574" s="21" t="n"/>
      <c r="O574" s="21" t="n"/>
    </row>
    <row r="575">
      <c r="A575" s="24" t="n"/>
      <c r="B575" s="21" t="n"/>
      <c r="C575" s="21" t="n"/>
      <c r="D575" s="21" t="n"/>
      <c r="E575" s="21" t="n"/>
      <c r="F575" s="28" t="n"/>
      <c r="G575" s="28" t="n"/>
      <c r="H575" s="26" t="n"/>
      <c r="I575" s="10">
        <f>IF(H575&lt;&gt;"",H575,IF(AND(F575&lt;&gt;"",G575&lt;&gt;""),ROUND((G575-F575)*1440,0),""))</f>
        <v/>
      </c>
      <c r="J575" s="26" t="n"/>
      <c r="K575" s="9">
        <f>IF(D575="","",IFERROR(VLOOKUP(D575,参数!$A$5:$C$24,2,0),""))</f>
        <v/>
      </c>
      <c r="L575" s="9">
        <f>IF(D575="","",IFERROR(VLOOKUP(D575,参数!$A$5:$C$24,3,0),""))</f>
        <v/>
      </c>
      <c r="M575" s="21" t="n"/>
      <c r="N575" s="21" t="n"/>
      <c r="O575" s="21" t="n"/>
    </row>
    <row r="576">
      <c r="A576" s="24" t="n"/>
      <c r="B576" s="21" t="n"/>
      <c r="C576" s="21" t="n"/>
      <c r="D576" s="21" t="n"/>
      <c r="E576" s="21" t="n"/>
      <c r="F576" s="28" t="n"/>
      <c r="G576" s="28" t="n"/>
      <c r="H576" s="26" t="n"/>
      <c r="I576" s="10">
        <f>IF(H576&lt;&gt;"",H576,IF(AND(F576&lt;&gt;"",G576&lt;&gt;""),ROUND((G576-F576)*1440,0),""))</f>
        <v/>
      </c>
      <c r="J576" s="26" t="n"/>
      <c r="K576" s="9">
        <f>IF(D576="","",IFERROR(VLOOKUP(D576,参数!$A$5:$C$24,2,0),""))</f>
        <v/>
      </c>
      <c r="L576" s="9">
        <f>IF(D576="","",IFERROR(VLOOKUP(D576,参数!$A$5:$C$24,3,0),""))</f>
        <v/>
      </c>
      <c r="M576" s="21" t="n"/>
      <c r="N576" s="21" t="n"/>
      <c r="O576" s="21" t="n"/>
    </row>
    <row r="577">
      <c r="A577" s="24" t="n"/>
      <c r="B577" s="21" t="n"/>
      <c r="C577" s="21" t="n"/>
      <c r="D577" s="21" t="n"/>
      <c r="E577" s="21" t="n"/>
      <c r="F577" s="28" t="n"/>
      <c r="G577" s="28" t="n"/>
      <c r="H577" s="26" t="n"/>
      <c r="I577" s="10">
        <f>IF(H577&lt;&gt;"",H577,IF(AND(F577&lt;&gt;"",G577&lt;&gt;""),ROUND((G577-F577)*1440,0),""))</f>
        <v/>
      </c>
      <c r="J577" s="26" t="n"/>
      <c r="K577" s="9">
        <f>IF(D577="","",IFERROR(VLOOKUP(D577,参数!$A$5:$C$24,2,0),""))</f>
        <v/>
      </c>
      <c r="L577" s="9">
        <f>IF(D577="","",IFERROR(VLOOKUP(D577,参数!$A$5:$C$24,3,0),""))</f>
        <v/>
      </c>
      <c r="M577" s="21" t="n"/>
      <c r="N577" s="21" t="n"/>
      <c r="O577" s="21" t="n"/>
    </row>
    <row r="578">
      <c r="A578" s="24" t="n"/>
      <c r="B578" s="21" t="n"/>
      <c r="C578" s="21" t="n"/>
      <c r="D578" s="21" t="n"/>
      <c r="E578" s="21" t="n"/>
      <c r="F578" s="28" t="n"/>
      <c r="G578" s="28" t="n"/>
      <c r="H578" s="26" t="n"/>
      <c r="I578" s="10">
        <f>IF(H578&lt;&gt;"",H578,IF(AND(F578&lt;&gt;"",G578&lt;&gt;""),ROUND((G578-F578)*1440,0),""))</f>
        <v/>
      </c>
      <c r="J578" s="26" t="n"/>
      <c r="K578" s="9">
        <f>IF(D578="","",IFERROR(VLOOKUP(D578,参数!$A$5:$C$24,2,0),""))</f>
        <v/>
      </c>
      <c r="L578" s="9">
        <f>IF(D578="","",IFERROR(VLOOKUP(D578,参数!$A$5:$C$24,3,0),""))</f>
        <v/>
      </c>
      <c r="M578" s="21" t="n"/>
      <c r="N578" s="21" t="n"/>
      <c r="O578" s="21" t="n"/>
    </row>
    <row r="579">
      <c r="A579" s="24" t="n"/>
      <c r="B579" s="21" t="n"/>
      <c r="C579" s="21" t="n"/>
      <c r="D579" s="21" t="n"/>
      <c r="E579" s="21" t="n"/>
      <c r="F579" s="28" t="n"/>
      <c r="G579" s="28" t="n"/>
      <c r="H579" s="26" t="n"/>
      <c r="I579" s="10">
        <f>IF(H579&lt;&gt;"",H579,IF(AND(F579&lt;&gt;"",G579&lt;&gt;""),ROUND((G579-F579)*1440,0),""))</f>
        <v/>
      </c>
      <c r="J579" s="26" t="n"/>
      <c r="K579" s="9">
        <f>IF(D579="","",IFERROR(VLOOKUP(D579,参数!$A$5:$C$24,2,0),""))</f>
        <v/>
      </c>
      <c r="L579" s="9">
        <f>IF(D579="","",IFERROR(VLOOKUP(D579,参数!$A$5:$C$24,3,0),""))</f>
        <v/>
      </c>
      <c r="M579" s="21" t="n"/>
      <c r="N579" s="21" t="n"/>
      <c r="O579" s="21" t="n"/>
    </row>
    <row r="580">
      <c r="A580" s="24" t="n"/>
      <c r="B580" s="21" t="n"/>
      <c r="C580" s="21" t="n"/>
      <c r="D580" s="21" t="n"/>
      <c r="E580" s="21" t="n"/>
      <c r="F580" s="28" t="n"/>
      <c r="G580" s="28" t="n"/>
      <c r="H580" s="26" t="n"/>
      <c r="I580" s="10">
        <f>IF(H580&lt;&gt;"",H580,IF(AND(F580&lt;&gt;"",G580&lt;&gt;""),ROUND((G580-F580)*1440,0),""))</f>
        <v/>
      </c>
      <c r="J580" s="26" t="n"/>
      <c r="K580" s="9">
        <f>IF(D580="","",IFERROR(VLOOKUP(D580,参数!$A$5:$C$24,2,0),""))</f>
        <v/>
      </c>
      <c r="L580" s="9">
        <f>IF(D580="","",IFERROR(VLOOKUP(D580,参数!$A$5:$C$24,3,0),""))</f>
        <v/>
      </c>
      <c r="M580" s="21" t="n"/>
      <c r="N580" s="21" t="n"/>
      <c r="O580" s="21" t="n"/>
    </row>
    <row r="581">
      <c r="A581" s="24" t="n"/>
      <c r="B581" s="21" t="n"/>
      <c r="C581" s="21" t="n"/>
      <c r="D581" s="21" t="n"/>
      <c r="E581" s="21" t="n"/>
      <c r="F581" s="28" t="n"/>
      <c r="G581" s="28" t="n"/>
      <c r="H581" s="26" t="n"/>
      <c r="I581" s="10">
        <f>IF(H581&lt;&gt;"",H581,IF(AND(F581&lt;&gt;"",G581&lt;&gt;""),ROUND((G581-F581)*1440,0),""))</f>
        <v/>
      </c>
      <c r="J581" s="26" t="n"/>
      <c r="K581" s="9">
        <f>IF(D581="","",IFERROR(VLOOKUP(D581,参数!$A$5:$C$24,2,0),""))</f>
        <v/>
      </c>
      <c r="L581" s="9">
        <f>IF(D581="","",IFERROR(VLOOKUP(D581,参数!$A$5:$C$24,3,0),""))</f>
        <v/>
      </c>
      <c r="M581" s="21" t="n"/>
      <c r="N581" s="21" t="n"/>
      <c r="O581" s="21" t="n"/>
    </row>
    <row r="582">
      <c r="A582" s="24" t="n"/>
      <c r="B582" s="21" t="n"/>
      <c r="C582" s="21" t="n"/>
      <c r="D582" s="21" t="n"/>
      <c r="E582" s="21" t="n"/>
      <c r="F582" s="28" t="n"/>
      <c r="G582" s="28" t="n"/>
      <c r="H582" s="26" t="n"/>
      <c r="I582" s="10">
        <f>IF(H582&lt;&gt;"",H582,IF(AND(F582&lt;&gt;"",G582&lt;&gt;""),ROUND((G582-F582)*1440,0),""))</f>
        <v/>
      </c>
      <c r="J582" s="26" t="n"/>
      <c r="K582" s="9">
        <f>IF(D582="","",IFERROR(VLOOKUP(D582,参数!$A$5:$C$24,2,0),""))</f>
        <v/>
      </c>
      <c r="L582" s="9">
        <f>IF(D582="","",IFERROR(VLOOKUP(D582,参数!$A$5:$C$24,3,0),""))</f>
        <v/>
      </c>
      <c r="M582" s="21" t="n"/>
      <c r="N582" s="21" t="n"/>
      <c r="O582" s="21" t="n"/>
    </row>
    <row r="583">
      <c r="A583" s="24" t="n"/>
      <c r="B583" s="21" t="n"/>
      <c r="C583" s="21" t="n"/>
      <c r="D583" s="21" t="n"/>
      <c r="E583" s="21" t="n"/>
      <c r="F583" s="28" t="n"/>
      <c r="G583" s="28" t="n"/>
      <c r="H583" s="26" t="n"/>
      <c r="I583" s="10">
        <f>IF(H583&lt;&gt;"",H583,IF(AND(F583&lt;&gt;"",G583&lt;&gt;""),ROUND((G583-F583)*1440,0),""))</f>
        <v/>
      </c>
      <c r="J583" s="26" t="n"/>
      <c r="K583" s="9">
        <f>IF(D583="","",IFERROR(VLOOKUP(D583,参数!$A$5:$C$24,2,0),""))</f>
        <v/>
      </c>
      <c r="L583" s="9">
        <f>IF(D583="","",IFERROR(VLOOKUP(D583,参数!$A$5:$C$24,3,0),""))</f>
        <v/>
      </c>
      <c r="M583" s="21" t="n"/>
      <c r="N583" s="21" t="n"/>
      <c r="O583" s="21" t="n"/>
    </row>
    <row r="584">
      <c r="A584" s="24" t="n"/>
      <c r="B584" s="21" t="n"/>
      <c r="C584" s="21" t="n"/>
      <c r="D584" s="21" t="n"/>
      <c r="E584" s="21" t="n"/>
      <c r="F584" s="28" t="n"/>
      <c r="G584" s="28" t="n"/>
      <c r="H584" s="26" t="n"/>
      <c r="I584" s="10">
        <f>IF(H584&lt;&gt;"",H584,IF(AND(F584&lt;&gt;"",G584&lt;&gt;""),ROUND((G584-F584)*1440,0),""))</f>
        <v/>
      </c>
      <c r="J584" s="26" t="n"/>
      <c r="K584" s="9">
        <f>IF(D584="","",IFERROR(VLOOKUP(D584,参数!$A$5:$C$24,2,0),""))</f>
        <v/>
      </c>
      <c r="L584" s="9">
        <f>IF(D584="","",IFERROR(VLOOKUP(D584,参数!$A$5:$C$24,3,0),""))</f>
        <v/>
      </c>
      <c r="M584" s="21" t="n"/>
      <c r="N584" s="21" t="n"/>
      <c r="O584" s="21" t="n"/>
    </row>
    <row r="585">
      <c r="A585" s="24" t="n"/>
      <c r="B585" s="21" t="n"/>
      <c r="C585" s="21" t="n"/>
      <c r="D585" s="21" t="n"/>
      <c r="E585" s="21" t="n"/>
      <c r="F585" s="28" t="n"/>
      <c r="G585" s="28" t="n"/>
      <c r="H585" s="26" t="n"/>
      <c r="I585" s="10">
        <f>IF(H585&lt;&gt;"",H585,IF(AND(F585&lt;&gt;"",G585&lt;&gt;""),ROUND((G585-F585)*1440,0),""))</f>
        <v/>
      </c>
      <c r="J585" s="26" t="n"/>
      <c r="K585" s="9">
        <f>IF(D585="","",IFERROR(VLOOKUP(D585,参数!$A$5:$C$24,2,0),""))</f>
        <v/>
      </c>
      <c r="L585" s="9">
        <f>IF(D585="","",IFERROR(VLOOKUP(D585,参数!$A$5:$C$24,3,0),""))</f>
        <v/>
      </c>
      <c r="M585" s="21" t="n"/>
      <c r="N585" s="21" t="n"/>
      <c r="O585" s="21" t="n"/>
    </row>
    <row r="586">
      <c r="A586" s="24" t="n"/>
      <c r="B586" s="21" t="n"/>
      <c r="C586" s="21" t="n"/>
      <c r="D586" s="21" t="n"/>
      <c r="E586" s="21" t="n"/>
      <c r="F586" s="28" t="n"/>
      <c r="G586" s="28" t="n"/>
      <c r="H586" s="26" t="n"/>
      <c r="I586" s="10">
        <f>IF(H586&lt;&gt;"",H586,IF(AND(F586&lt;&gt;"",G586&lt;&gt;""),ROUND((G586-F586)*1440,0),""))</f>
        <v/>
      </c>
      <c r="J586" s="26" t="n"/>
      <c r="K586" s="9">
        <f>IF(D586="","",IFERROR(VLOOKUP(D586,参数!$A$5:$C$24,2,0),""))</f>
        <v/>
      </c>
      <c r="L586" s="9">
        <f>IF(D586="","",IFERROR(VLOOKUP(D586,参数!$A$5:$C$24,3,0),""))</f>
        <v/>
      </c>
      <c r="M586" s="21" t="n"/>
      <c r="N586" s="21" t="n"/>
      <c r="O586" s="21" t="n"/>
    </row>
    <row r="587">
      <c r="A587" s="24" t="n"/>
      <c r="B587" s="21" t="n"/>
      <c r="C587" s="21" t="n"/>
      <c r="D587" s="21" t="n"/>
      <c r="E587" s="21" t="n"/>
      <c r="F587" s="28" t="n"/>
      <c r="G587" s="28" t="n"/>
      <c r="H587" s="26" t="n"/>
      <c r="I587" s="10">
        <f>IF(H587&lt;&gt;"",H587,IF(AND(F587&lt;&gt;"",G587&lt;&gt;""),ROUND((G587-F587)*1440,0),""))</f>
        <v/>
      </c>
      <c r="J587" s="26" t="n"/>
      <c r="K587" s="9">
        <f>IF(D587="","",IFERROR(VLOOKUP(D587,参数!$A$5:$C$24,2,0),""))</f>
        <v/>
      </c>
      <c r="L587" s="9">
        <f>IF(D587="","",IFERROR(VLOOKUP(D587,参数!$A$5:$C$24,3,0),""))</f>
        <v/>
      </c>
      <c r="M587" s="21" t="n"/>
      <c r="N587" s="21" t="n"/>
      <c r="O587" s="21" t="n"/>
    </row>
    <row r="588">
      <c r="A588" s="24" t="n"/>
      <c r="B588" s="21" t="n"/>
      <c r="C588" s="21" t="n"/>
      <c r="D588" s="21" t="n"/>
      <c r="E588" s="21" t="n"/>
      <c r="F588" s="28" t="n"/>
      <c r="G588" s="28" t="n"/>
      <c r="H588" s="26" t="n"/>
      <c r="I588" s="10">
        <f>IF(H588&lt;&gt;"",H588,IF(AND(F588&lt;&gt;"",G588&lt;&gt;""),ROUND((G588-F588)*1440,0),""))</f>
        <v/>
      </c>
      <c r="J588" s="26" t="n"/>
      <c r="K588" s="9">
        <f>IF(D588="","",IFERROR(VLOOKUP(D588,参数!$A$5:$C$24,2,0),""))</f>
        <v/>
      </c>
      <c r="L588" s="9">
        <f>IF(D588="","",IFERROR(VLOOKUP(D588,参数!$A$5:$C$24,3,0),""))</f>
        <v/>
      </c>
      <c r="M588" s="21" t="n"/>
      <c r="N588" s="21" t="n"/>
      <c r="O588" s="21" t="n"/>
    </row>
    <row r="589">
      <c r="A589" s="24" t="n"/>
      <c r="B589" s="21" t="n"/>
      <c r="C589" s="21" t="n"/>
      <c r="D589" s="21" t="n"/>
      <c r="E589" s="21" t="n"/>
      <c r="F589" s="28" t="n"/>
      <c r="G589" s="28" t="n"/>
      <c r="H589" s="26" t="n"/>
      <c r="I589" s="10">
        <f>IF(H589&lt;&gt;"",H589,IF(AND(F589&lt;&gt;"",G589&lt;&gt;""),ROUND((G589-F589)*1440,0),""))</f>
        <v/>
      </c>
      <c r="J589" s="26" t="n"/>
      <c r="K589" s="9">
        <f>IF(D589="","",IFERROR(VLOOKUP(D589,参数!$A$5:$C$24,2,0),""))</f>
        <v/>
      </c>
      <c r="L589" s="9">
        <f>IF(D589="","",IFERROR(VLOOKUP(D589,参数!$A$5:$C$24,3,0),""))</f>
        <v/>
      </c>
      <c r="M589" s="21" t="n"/>
      <c r="N589" s="21" t="n"/>
      <c r="O589" s="21" t="n"/>
    </row>
    <row r="590">
      <c r="A590" s="24" t="n"/>
      <c r="B590" s="21" t="n"/>
      <c r="C590" s="21" t="n"/>
      <c r="D590" s="21" t="n"/>
      <c r="E590" s="21" t="n"/>
      <c r="F590" s="28" t="n"/>
      <c r="G590" s="28" t="n"/>
      <c r="H590" s="26" t="n"/>
      <c r="I590" s="10">
        <f>IF(H590&lt;&gt;"",H590,IF(AND(F590&lt;&gt;"",G590&lt;&gt;""),ROUND((G590-F590)*1440,0),""))</f>
        <v/>
      </c>
      <c r="J590" s="26" t="n"/>
      <c r="K590" s="9">
        <f>IF(D590="","",IFERROR(VLOOKUP(D590,参数!$A$5:$C$24,2,0),""))</f>
        <v/>
      </c>
      <c r="L590" s="9">
        <f>IF(D590="","",IFERROR(VLOOKUP(D590,参数!$A$5:$C$24,3,0),""))</f>
        <v/>
      </c>
      <c r="M590" s="21" t="n"/>
      <c r="N590" s="21" t="n"/>
      <c r="O590" s="21" t="n"/>
    </row>
    <row r="591">
      <c r="A591" s="24" t="n"/>
      <c r="B591" s="21" t="n"/>
      <c r="C591" s="21" t="n"/>
      <c r="D591" s="21" t="n"/>
      <c r="E591" s="21" t="n"/>
      <c r="F591" s="28" t="n"/>
      <c r="G591" s="28" t="n"/>
      <c r="H591" s="26" t="n"/>
      <c r="I591" s="10">
        <f>IF(H591&lt;&gt;"",H591,IF(AND(F591&lt;&gt;"",G591&lt;&gt;""),ROUND((G591-F591)*1440,0),""))</f>
        <v/>
      </c>
      <c r="J591" s="26" t="n"/>
      <c r="K591" s="9">
        <f>IF(D591="","",IFERROR(VLOOKUP(D591,参数!$A$5:$C$24,2,0),""))</f>
        <v/>
      </c>
      <c r="L591" s="9">
        <f>IF(D591="","",IFERROR(VLOOKUP(D591,参数!$A$5:$C$24,3,0),""))</f>
        <v/>
      </c>
      <c r="M591" s="21" t="n"/>
      <c r="N591" s="21" t="n"/>
      <c r="O591" s="21" t="n"/>
    </row>
    <row r="592">
      <c r="A592" s="24" t="n"/>
      <c r="B592" s="21" t="n"/>
      <c r="C592" s="21" t="n"/>
      <c r="D592" s="21" t="n"/>
      <c r="E592" s="21" t="n"/>
      <c r="F592" s="28" t="n"/>
      <c r="G592" s="28" t="n"/>
      <c r="H592" s="26" t="n"/>
      <c r="I592" s="10">
        <f>IF(H592&lt;&gt;"",H592,IF(AND(F592&lt;&gt;"",G592&lt;&gt;""),ROUND((G592-F592)*1440,0),""))</f>
        <v/>
      </c>
      <c r="J592" s="26" t="n"/>
      <c r="K592" s="9">
        <f>IF(D592="","",IFERROR(VLOOKUP(D592,参数!$A$5:$C$24,2,0),""))</f>
        <v/>
      </c>
      <c r="L592" s="9">
        <f>IF(D592="","",IFERROR(VLOOKUP(D592,参数!$A$5:$C$24,3,0),""))</f>
        <v/>
      </c>
      <c r="M592" s="21" t="n"/>
      <c r="N592" s="21" t="n"/>
      <c r="O592" s="21" t="n"/>
    </row>
    <row r="593">
      <c r="A593" s="24" t="n"/>
      <c r="B593" s="21" t="n"/>
      <c r="C593" s="21" t="n"/>
      <c r="D593" s="21" t="n"/>
      <c r="E593" s="21" t="n"/>
      <c r="F593" s="28" t="n"/>
      <c r="G593" s="28" t="n"/>
      <c r="H593" s="26" t="n"/>
      <c r="I593" s="10">
        <f>IF(H593&lt;&gt;"",H593,IF(AND(F593&lt;&gt;"",G593&lt;&gt;""),ROUND((G593-F593)*1440,0),""))</f>
        <v/>
      </c>
      <c r="J593" s="26" t="n"/>
      <c r="K593" s="9">
        <f>IF(D593="","",IFERROR(VLOOKUP(D593,参数!$A$5:$C$24,2,0),""))</f>
        <v/>
      </c>
      <c r="L593" s="9">
        <f>IF(D593="","",IFERROR(VLOOKUP(D593,参数!$A$5:$C$24,3,0),""))</f>
        <v/>
      </c>
      <c r="M593" s="21" t="n"/>
      <c r="N593" s="21" t="n"/>
      <c r="O593" s="21" t="n"/>
    </row>
    <row r="594">
      <c r="A594" s="24" t="n"/>
      <c r="B594" s="21" t="n"/>
      <c r="C594" s="21" t="n"/>
      <c r="D594" s="21" t="n"/>
      <c r="E594" s="21" t="n"/>
      <c r="F594" s="28" t="n"/>
      <c r="G594" s="28" t="n"/>
      <c r="H594" s="26" t="n"/>
      <c r="I594" s="10">
        <f>IF(H594&lt;&gt;"",H594,IF(AND(F594&lt;&gt;"",G594&lt;&gt;""),ROUND((G594-F594)*1440,0),""))</f>
        <v/>
      </c>
      <c r="J594" s="26" t="n"/>
      <c r="K594" s="9">
        <f>IF(D594="","",IFERROR(VLOOKUP(D594,参数!$A$5:$C$24,2,0),""))</f>
        <v/>
      </c>
      <c r="L594" s="9">
        <f>IF(D594="","",IFERROR(VLOOKUP(D594,参数!$A$5:$C$24,3,0),""))</f>
        <v/>
      </c>
      <c r="M594" s="21" t="n"/>
      <c r="N594" s="21" t="n"/>
      <c r="O594" s="21" t="n"/>
    </row>
    <row r="595">
      <c r="A595" s="24" t="n"/>
      <c r="B595" s="21" t="n"/>
      <c r="C595" s="21" t="n"/>
      <c r="D595" s="21" t="n"/>
      <c r="E595" s="21" t="n"/>
      <c r="F595" s="28" t="n"/>
      <c r="G595" s="28" t="n"/>
      <c r="H595" s="26" t="n"/>
      <c r="I595" s="10">
        <f>IF(H595&lt;&gt;"",H595,IF(AND(F595&lt;&gt;"",G595&lt;&gt;""),ROUND((G595-F595)*1440,0),""))</f>
        <v/>
      </c>
      <c r="J595" s="26" t="n"/>
      <c r="K595" s="9">
        <f>IF(D595="","",IFERROR(VLOOKUP(D595,参数!$A$5:$C$24,2,0),""))</f>
        <v/>
      </c>
      <c r="L595" s="9">
        <f>IF(D595="","",IFERROR(VLOOKUP(D595,参数!$A$5:$C$24,3,0),""))</f>
        <v/>
      </c>
      <c r="M595" s="21" t="n"/>
      <c r="N595" s="21" t="n"/>
      <c r="O595" s="21" t="n"/>
    </row>
    <row r="596">
      <c r="A596" s="24" t="n"/>
      <c r="B596" s="21" t="n"/>
      <c r="C596" s="21" t="n"/>
      <c r="D596" s="21" t="n"/>
      <c r="E596" s="21" t="n"/>
      <c r="F596" s="28" t="n"/>
      <c r="G596" s="28" t="n"/>
      <c r="H596" s="26" t="n"/>
      <c r="I596" s="10">
        <f>IF(H596&lt;&gt;"",H596,IF(AND(F596&lt;&gt;"",G596&lt;&gt;""),ROUND((G596-F596)*1440,0),""))</f>
        <v/>
      </c>
      <c r="J596" s="26" t="n"/>
      <c r="K596" s="9">
        <f>IF(D596="","",IFERROR(VLOOKUP(D596,参数!$A$5:$C$24,2,0),""))</f>
        <v/>
      </c>
      <c r="L596" s="9">
        <f>IF(D596="","",IFERROR(VLOOKUP(D596,参数!$A$5:$C$24,3,0),""))</f>
        <v/>
      </c>
      <c r="M596" s="21" t="n"/>
      <c r="N596" s="21" t="n"/>
      <c r="O596" s="21" t="n"/>
    </row>
    <row r="597">
      <c r="A597" s="24" t="n"/>
      <c r="B597" s="21" t="n"/>
      <c r="C597" s="21" t="n"/>
      <c r="D597" s="21" t="n"/>
      <c r="E597" s="21" t="n"/>
      <c r="F597" s="28" t="n"/>
      <c r="G597" s="28" t="n"/>
      <c r="H597" s="26" t="n"/>
      <c r="I597" s="10">
        <f>IF(H597&lt;&gt;"",H597,IF(AND(F597&lt;&gt;"",G597&lt;&gt;""),ROUND((G597-F597)*1440,0),""))</f>
        <v/>
      </c>
      <c r="J597" s="26" t="n"/>
      <c r="K597" s="9">
        <f>IF(D597="","",IFERROR(VLOOKUP(D597,参数!$A$5:$C$24,2,0),""))</f>
        <v/>
      </c>
      <c r="L597" s="9">
        <f>IF(D597="","",IFERROR(VLOOKUP(D597,参数!$A$5:$C$24,3,0),""))</f>
        <v/>
      </c>
      <c r="M597" s="21" t="n"/>
      <c r="N597" s="21" t="n"/>
      <c r="O597" s="21" t="n"/>
    </row>
    <row r="598">
      <c r="A598" s="24" t="n"/>
      <c r="B598" s="21" t="n"/>
      <c r="C598" s="21" t="n"/>
      <c r="D598" s="21" t="n"/>
      <c r="E598" s="21" t="n"/>
      <c r="F598" s="28" t="n"/>
      <c r="G598" s="28" t="n"/>
      <c r="H598" s="26" t="n"/>
      <c r="I598" s="10">
        <f>IF(H598&lt;&gt;"",H598,IF(AND(F598&lt;&gt;"",G598&lt;&gt;""),ROUND((G598-F598)*1440,0),""))</f>
        <v/>
      </c>
      <c r="J598" s="26" t="n"/>
      <c r="K598" s="9">
        <f>IF(D598="","",IFERROR(VLOOKUP(D598,参数!$A$5:$C$24,2,0),""))</f>
        <v/>
      </c>
      <c r="L598" s="9">
        <f>IF(D598="","",IFERROR(VLOOKUP(D598,参数!$A$5:$C$24,3,0),""))</f>
        <v/>
      </c>
      <c r="M598" s="21" t="n"/>
      <c r="N598" s="21" t="n"/>
      <c r="O598" s="21" t="n"/>
    </row>
    <row r="599">
      <c r="A599" s="24" t="n"/>
      <c r="B599" s="21" t="n"/>
      <c r="C599" s="21" t="n"/>
      <c r="D599" s="21" t="n"/>
      <c r="E599" s="21" t="n"/>
      <c r="F599" s="28" t="n"/>
      <c r="G599" s="28" t="n"/>
      <c r="H599" s="26" t="n"/>
      <c r="I599" s="10">
        <f>IF(H599&lt;&gt;"",H599,IF(AND(F599&lt;&gt;"",G599&lt;&gt;""),ROUND((G599-F599)*1440,0),""))</f>
        <v/>
      </c>
      <c r="J599" s="26" t="n"/>
      <c r="K599" s="9">
        <f>IF(D599="","",IFERROR(VLOOKUP(D599,参数!$A$5:$C$24,2,0),""))</f>
        <v/>
      </c>
      <c r="L599" s="9">
        <f>IF(D599="","",IFERROR(VLOOKUP(D599,参数!$A$5:$C$24,3,0),""))</f>
        <v/>
      </c>
      <c r="M599" s="21" t="n"/>
      <c r="N599" s="21" t="n"/>
      <c r="O599" s="21" t="n"/>
    </row>
    <row r="600">
      <c r="A600" s="24" t="n"/>
      <c r="B600" s="21" t="n"/>
      <c r="C600" s="21" t="n"/>
      <c r="D600" s="21" t="n"/>
      <c r="E600" s="21" t="n"/>
      <c r="F600" s="28" t="n"/>
      <c r="G600" s="28" t="n"/>
      <c r="H600" s="26" t="n"/>
      <c r="I600" s="10">
        <f>IF(H600&lt;&gt;"",H600,IF(AND(F600&lt;&gt;"",G600&lt;&gt;""),ROUND((G600-F600)*1440,0),""))</f>
        <v/>
      </c>
      <c r="J600" s="26" t="n"/>
      <c r="K600" s="9">
        <f>IF(D600="","",IFERROR(VLOOKUP(D600,参数!$A$5:$C$24,2,0),""))</f>
        <v/>
      </c>
      <c r="L600" s="9">
        <f>IF(D600="","",IFERROR(VLOOKUP(D600,参数!$A$5:$C$24,3,0),""))</f>
        <v/>
      </c>
      <c r="M600" s="21" t="n"/>
      <c r="N600" s="21" t="n"/>
      <c r="O600" s="21" t="n"/>
    </row>
    <row r="601">
      <c r="A601" s="24" t="n"/>
      <c r="B601" s="21" t="n"/>
      <c r="C601" s="21" t="n"/>
      <c r="D601" s="21" t="n"/>
      <c r="E601" s="21" t="n"/>
      <c r="F601" s="28" t="n"/>
      <c r="G601" s="28" t="n"/>
      <c r="H601" s="26" t="n"/>
      <c r="I601" s="10">
        <f>IF(H601&lt;&gt;"",H601,IF(AND(F601&lt;&gt;"",G601&lt;&gt;""),ROUND((G601-F601)*1440,0),""))</f>
        <v/>
      </c>
      <c r="J601" s="26" t="n"/>
      <c r="K601" s="9">
        <f>IF(D601="","",IFERROR(VLOOKUP(D601,参数!$A$5:$C$24,2,0),""))</f>
        <v/>
      </c>
      <c r="L601" s="9">
        <f>IF(D601="","",IFERROR(VLOOKUP(D601,参数!$A$5:$C$24,3,0),""))</f>
        <v/>
      </c>
      <c r="M601" s="21" t="n"/>
      <c r="N601" s="21" t="n"/>
      <c r="O601" s="21" t="n"/>
    </row>
    <row r="602">
      <c r="A602" s="24" t="n"/>
      <c r="B602" s="21" t="n"/>
      <c r="C602" s="21" t="n"/>
      <c r="D602" s="21" t="n"/>
      <c r="E602" s="21" t="n"/>
      <c r="F602" s="28" t="n"/>
      <c r="G602" s="28" t="n"/>
      <c r="H602" s="26" t="n"/>
      <c r="I602" s="10">
        <f>IF(H602&lt;&gt;"",H602,IF(AND(F602&lt;&gt;"",G602&lt;&gt;""),ROUND((G602-F602)*1440,0),""))</f>
        <v/>
      </c>
      <c r="J602" s="26" t="n"/>
      <c r="K602" s="9">
        <f>IF(D602="","",IFERROR(VLOOKUP(D602,参数!$A$5:$C$24,2,0),""))</f>
        <v/>
      </c>
      <c r="L602" s="9">
        <f>IF(D602="","",IFERROR(VLOOKUP(D602,参数!$A$5:$C$24,3,0),""))</f>
        <v/>
      </c>
      <c r="M602" s="21" t="n"/>
      <c r="N602" s="21" t="n"/>
      <c r="O602" s="21" t="n"/>
    </row>
    <row r="603">
      <c r="A603" s="24" t="n"/>
      <c r="B603" s="21" t="n"/>
      <c r="C603" s="21" t="n"/>
      <c r="D603" s="21" t="n"/>
      <c r="E603" s="21" t="n"/>
      <c r="F603" s="28" t="n"/>
      <c r="G603" s="28" t="n"/>
      <c r="H603" s="26" t="n"/>
      <c r="I603" s="10">
        <f>IF(H603&lt;&gt;"",H603,IF(AND(F603&lt;&gt;"",G603&lt;&gt;""),ROUND((G603-F603)*1440,0),""))</f>
        <v/>
      </c>
      <c r="J603" s="26" t="n"/>
      <c r="K603" s="9">
        <f>IF(D603="","",IFERROR(VLOOKUP(D603,参数!$A$5:$C$24,2,0),""))</f>
        <v/>
      </c>
      <c r="L603" s="9">
        <f>IF(D603="","",IFERROR(VLOOKUP(D603,参数!$A$5:$C$24,3,0),""))</f>
        <v/>
      </c>
      <c r="M603" s="21" t="n"/>
      <c r="N603" s="21" t="n"/>
      <c r="O603" s="21" t="n"/>
    </row>
    <row r="604">
      <c r="A604" s="24" t="n"/>
      <c r="B604" s="21" t="n"/>
      <c r="C604" s="21" t="n"/>
      <c r="D604" s="21" t="n"/>
      <c r="E604" s="21" t="n"/>
      <c r="F604" s="28" t="n"/>
      <c r="G604" s="28" t="n"/>
      <c r="H604" s="26" t="n"/>
      <c r="I604" s="10">
        <f>IF(H604&lt;&gt;"",H604,IF(AND(F604&lt;&gt;"",G604&lt;&gt;""),ROUND((G604-F604)*1440,0),""))</f>
        <v/>
      </c>
      <c r="J604" s="26" t="n"/>
      <c r="K604" s="9">
        <f>IF(D604="","",IFERROR(VLOOKUP(D604,参数!$A$5:$C$24,2,0),""))</f>
        <v/>
      </c>
      <c r="L604" s="9">
        <f>IF(D604="","",IFERROR(VLOOKUP(D604,参数!$A$5:$C$24,3,0),""))</f>
        <v/>
      </c>
      <c r="M604" s="21" t="n"/>
      <c r="N604" s="21" t="n"/>
      <c r="O604" s="21" t="n"/>
    </row>
    <row r="605">
      <c r="A605" s="24" t="n"/>
      <c r="B605" s="21" t="n"/>
      <c r="C605" s="21" t="n"/>
      <c r="D605" s="21" t="n"/>
      <c r="E605" s="21" t="n"/>
      <c r="F605" s="28" t="n"/>
      <c r="G605" s="28" t="n"/>
      <c r="H605" s="26" t="n"/>
      <c r="I605" s="10">
        <f>IF(H605&lt;&gt;"",H605,IF(AND(F605&lt;&gt;"",G605&lt;&gt;""),ROUND((G605-F605)*1440,0),""))</f>
        <v/>
      </c>
      <c r="J605" s="26" t="n"/>
      <c r="K605" s="9">
        <f>IF(D605="","",IFERROR(VLOOKUP(D605,参数!$A$5:$C$24,2,0),""))</f>
        <v/>
      </c>
      <c r="L605" s="9">
        <f>IF(D605="","",IFERROR(VLOOKUP(D605,参数!$A$5:$C$24,3,0),""))</f>
        <v/>
      </c>
      <c r="M605" s="21" t="n"/>
      <c r="N605" s="21" t="n"/>
      <c r="O605" s="21" t="n"/>
    </row>
    <row r="606">
      <c r="A606" s="24" t="n"/>
      <c r="B606" s="21" t="n"/>
      <c r="C606" s="21" t="n"/>
      <c r="D606" s="21" t="n"/>
      <c r="E606" s="21" t="n"/>
      <c r="F606" s="28" t="n"/>
      <c r="G606" s="28" t="n"/>
      <c r="H606" s="26" t="n"/>
      <c r="I606" s="10">
        <f>IF(H606&lt;&gt;"",H606,IF(AND(F606&lt;&gt;"",G606&lt;&gt;""),ROUND((G606-F606)*1440,0),""))</f>
        <v/>
      </c>
      <c r="J606" s="26" t="n"/>
      <c r="K606" s="9">
        <f>IF(D606="","",IFERROR(VLOOKUP(D606,参数!$A$5:$C$24,2,0),""))</f>
        <v/>
      </c>
      <c r="L606" s="9">
        <f>IF(D606="","",IFERROR(VLOOKUP(D606,参数!$A$5:$C$24,3,0),""))</f>
        <v/>
      </c>
      <c r="M606" s="21" t="n"/>
      <c r="N606" s="21" t="n"/>
      <c r="O606" s="21" t="n"/>
    </row>
    <row r="607">
      <c r="A607" s="24" t="n"/>
      <c r="B607" s="21" t="n"/>
      <c r="C607" s="21" t="n"/>
      <c r="D607" s="21" t="n"/>
      <c r="E607" s="21" t="n"/>
      <c r="F607" s="28" t="n"/>
      <c r="G607" s="28" t="n"/>
      <c r="H607" s="26" t="n"/>
      <c r="I607" s="10">
        <f>IF(H607&lt;&gt;"",H607,IF(AND(F607&lt;&gt;"",G607&lt;&gt;""),ROUND((G607-F607)*1440,0),""))</f>
        <v/>
      </c>
      <c r="J607" s="26" t="n"/>
      <c r="K607" s="9">
        <f>IF(D607="","",IFERROR(VLOOKUP(D607,参数!$A$5:$C$24,2,0),""))</f>
        <v/>
      </c>
      <c r="L607" s="9">
        <f>IF(D607="","",IFERROR(VLOOKUP(D607,参数!$A$5:$C$24,3,0),""))</f>
        <v/>
      </c>
      <c r="M607" s="21" t="n"/>
      <c r="N607" s="21" t="n"/>
      <c r="O607" s="21" t="n"/>
    </row>
    <row r="608">
      <c r="A608" s="24" t="n"/>
      <c r="B608" s="21" t="n"/>
      <c r="C608" s="21" t="n"/>
      <c r="D608" s="21" t="n"/>
      <c r="E608" s="21" t="n"/>
      <c r="F608" s="28" t="n"/>
      <c r="G608" s="28" t="n"/>
      <c r="H608" s="26" t="n"/>
      <c r="I608" s="10">
        <f>IF(H608&lt;&gt;"",H608,IF(AND(F608&lt;&gt;"",G608&lt;&gt;""),ROUND((G608-F608)*1440,0),""))</f>
        <v/>
      </c>
      <c r="J608" s="26" t="n"/>
      <c r="K608" s="9">
        <f>IF(D608="","",IFERROR(VLOOKUP(D608,参数!$A$5:$C$24,2,0),""))</f>
        <v/>
      </c>
      <c r="L608" s="9">
        <f>IF(D608="","",IFERROR(VLOOKUP(D608,参数!$A$5:$C$24,3,0),""))</f>
        <v/>
      </c>
      <c r="M608" s="21" t="n"/>
      <c r="N608" s="21" t="n"/>
      <c r="O608" s="21" t="n"/>
    </row>
    <row r="609">
      <c r="A609" s="24" t="n"/>
      <c r="B609" s="21" t="n"/>
      <c r="C609" s="21" t="n"/>
      <c r="D609" s="21" t="n"/>
      <c r="E609" s="21" t="n"/>
      <c r="F609" s="28" t="n"/>
      <c r="G609" s="28" t="n"/>
      <c r="H609" s="26" t="n"/>
      <c r="I609" s="10">
        <f>IF(H609&lt;&gt;"",H609,IF(AND(F609&lt;&gt;"",G609&lt;&gt;""),ROUND((G609-F609)*1440,0),""))</f>
        <v/>
      </c>
      <c r="J609" s="26" t="n"/>
      <c r="K609" s="9">
        <f>IF(D609="","",IFERROR(VLOOKUP(D609,参数!$A$5:$C$24,2,0),""))</f>
        <v/>
      </c>
      <c r="L609" s="9">
        <f>IF(D609="","",IFERROR(VLOOKUP(D609,参数!$A$5:$C$24,3,0),""))</f>
        <v/>
      </c>
      <c r="M609" s="21" t="n"/>
      <c r="N609" s="21" t="n"/>
      <c r="O609" s="21" t="n"/>
    </row>
    <row r="610">
      <c r="A610" s="24" t="n"/>
      <c r="B610" s="21" t="n"/>
      <c r="C610" s="21" t="n"/>
      <c r="D610" s="21" t="n"/>
      <c r="E610" s="21" t="n"/>
      <c r="F610" s="28" t="n"/>
      <c r="G610" s="28" t="n"/>
      <c r="H610" s="26" t="n"/>
      <c r="I610" s="10">
        <f>IF(H610&lt;&gt;"",H610,IF(AND(F610&lt;&gt;"",G610&lt;&gt;""),ROUND((G610-F610)*1440,0),""))</f>
        <v/>
      </c>
      <c r="J610" s="26" t="n"/>
      <c r="K610" s="9">
        <f>IF(D610="","",IFERROR(VLOOKUP(D610,参数!$A$5:$C$24,2,0),""))</f>
        <v/>
      </c>
      <c r="L610" s="9">
        <f>IF(D610="","",IFERROR(VLOOKUP(D610,参数!$A$5:$C$24,3,0),""))</f>
        <v/>
      </c>
      <c r="M610" s="21" t="n"/>
      <c r="N610" s="21" t="n"/>
      <c r="O610" s="21" t="n"/>
    </row>
    <row r="611">
      <c r="A611" s="24" t="n"/>
      <c r="B611" s="21" t="n"/>
      <c r="C611" s="21" t="n"/>
      <c r="D611" s="21" t="n"/>
      <c r="E611" s="21" t="n"/>
      <c r="F611" s="28" t="n"/>
      <c r="G611" s="28" t="n"/>
      <c r="H611" s="26" t="n"/>
      <c r="I611" s="10">
        <f>IF(H611&lt;&gt;"",H611,IF(AND(F611&lt;&gt;"",G611&lt;&gt;""),ROUND((G611-F611)*1440,0),""))</f>
        <v/>
      </c>
      <c r="J611" s="26" t="n"/>
      <c r="K611" s="9">
        <f>IF(D611="","",IFERROR(VLOOKUP(D611,参数!$A$5:$C$24,2,0),""))</f>
        <v/>
      </c>
      <c r="L611" s="9">
        <f>IF(D611="","",IFERROR(VLOOKUP(D611,参数!$A$5:$C$24,3,0),""))</f>
        <v/>
      </c>
      <c r="M611" s="21" t="n"/>
      <c r="N611" s="21" t="n"/>
      <c r="O611" s="21" t="n"/>
    </row>
    <row r="612">
      <c r="A612" s="24" t="n"/>
      <c r="B612" s="21" t="n"/>
      <c r="C612" s="21" t="n"/>
      <c r="D612" s="21" t="n"/>
      <c r="E612" s="21" t="n"/>
      <c r="F612" s="28" t="n"/>
      <c r="G612" s="28" t="n"/>
      <c r="H612" s="26" t="n"/>
      <c r="I612" s="10">
        <f>IF(H612&lt;&gt;"",H612,IF(AND(F612&lt;&gt;"",G612&lt;&gt;""),ROUND((G612-F612)*1440,0),""))</f>
        <v/>
      </c>
      <c r="J612" s="26" t="n"/>
      <c r="K612" s="9">
        <f>IF(D612="","",IFERROR(VLOOKUP(D612,参数!$A$5:$C$24,2,0),""))</f>
        <v/>
      </c>
      <c r="L612" s="9">
        <f>IF(D612="","",IFERROR(VLOOKUP(D612,参数!$A$5:$C$24,3,0),""))</f>
        <v/>
      </c>
      <c r="M612" s="21" t="n"/>
      <c r="N612" s="21" t="n"/>
      <c r="O612" s="21" t="n"/>
    </row>
    <row r="613">
      <c r="A613" s="24" t="n"/>
      <c r="B613" s="21" t="n"/>
      <c r="C613" s="21" t="n"/>
      <c r="D613" s="21" t="n"/>
      <c r="E613" s="21" t="n"/>
      <c r="F613" s="28" t="n"/>
      <c r="G613" s="28" t="n"/>
      <c r="H613" s="26" t="n"/>
      <c r="I613" s="10">
        <f>IF(H613&lt;&gt;"",H613,IF(AND(F613&lt;&gt;"",G613&lt;&gt;""),ROUND((G613-F613)*1440,0),""))</f>
        <v/>
      </c>
      <c r="J613" s="26" t="n"/>
      <c r="K613" s="9">
        <f>IF(D613="","",IFERROR(VLOOKUP(D613,参数!$A$5:$C$24,2,0),""))</f>
        <v/>
      </c>
      <c r="L613" s="9">
        <f>IF(D613="","",IFERROR(VLOOKUP(D613,参数!$A$5:$C$24,3,0),""))</f>
        <v/>
      </c>
      <c r="M613" s="21" t="n"/>
      <c r="N613" s="21" t="n"/>
      <c r="O613" s="21" t="n"/>
    </row>
    <row r="614">
      <c r="A614" s="24" t="n"/>
      <c r="B614" s="21" t="n"/>
      <c r="C614" s="21" t="n"/>
      <c r="D614" s="21" t="n"/>
      <c r="E614" s="21" t="n"/>
      <c r="F614" s="28" t="n"/>
      <c r="G614" s="28" t="n"/>
      <c r="H614" s="26" t="n"/>
      <c r="I614" s="10">
        <f>IF(H614&lt;&gt;"",H614,IF(AND(F614&lt;&gt;"",G614&lt;&gt;""),ROUND((G614-F614)*1440,0),""))</f>
        <v/>
      </c>
      <c r="J614" s="26" t="n"/>
      <c r="K614" s="9">
        <f>IF(D614="","",IFERROR(VLOOKUP(D614,参数!$A$5:$C$24,2,0),""))</f>
        <v/>
      </c>
      <c r="L614" s="9">
        <f>IF(D614="","",IFERROR(VLOOKUP(D614,参数!$A$5:$C$24,3,0),""))</f>
        <v/>
      </c>
      <c r="M614" s="21" t="n"/>
      <c r="N614" s="21" t="n"/>
      <c r="O614" s="21" t="n"/>
    </row>
    <row r="615">
      <c r="A615" s="24" t="n"/>
      <c r="B615" s="21" t="n"/>
      <c r="C615" s="21" t="n"/>
      <c r="D615" s="21" t="n"/>
      <c r="E615" s="21" t="n"/>
      <c r="F615" s="28" t="n"/>
      <c r="G615" s="28" t="n"/>
      <c r="H615" s="26" t="n"/>
      <c r="I615" s="10">
        <f>IF(H615&lt;&gt;"",H615,IF(AND(F615&lt;&gt;"",G615&lt;&gt;""),ROUND((G615-F615)*1440,0),""))</f>
        <v/>
      </c>
      <c r="J615" s="26" t="n"/>
      <c r="K615" s="9">
        <f>IF(D615="","",IFERROR(VLOOKUP(D615,参数!$A$5:$C$24,2,0),""))</f>
        <v/>
      </c>
      <c r="L615" s="9">
        <f>IF(D615="","",IFERROR(VLOOKUP(D615,参数!$A$5:$C$24,3,0),""))</f>
        <v/>
      </c>
      <c r="M615" s="21" t="n"/>
      <c r="N615" s="21" t="n"/>
      <c r="O615" s="21" t="n"/>
    </row>
    <row r="616">
      <c r="A616" s="24" t="n"/>
      <c r="B616" s="21" t="n"/>
      <c r="C616" s="21" t="n"/>
      <c r="D616" s="21" t="n"/>
      <c r="E616" s="21" t="n"/>
      <c r="F616" s="28" t="n"/>
      <c r="G616" s="28" t="n"/>
      <c r="H616" s="26" t="n"/>
      <c r="I616" s="10">
        <f>IF(H616&lt;&gt;"",H616,IF(AND(F616&lt;&gt;"",G616&lt;&gt;""),ROUND((G616-F616)*1440,0),""))</f>
        <v/>
      </c>
      <c r="J616" s="26" t="n"/>
      <c r="K616" s="9">
        <f>IF(D616="","",IFERROR(VLOOKUP(D616,参数!$A$5:$C$24,2,0),""))</f>
        <v/>
      </c>
      <c r="L616" s="9">
        <f>IF(D616="","",IFERROR(VLOOKUP(D616,参数!$A$5:$C$24,3,0),""))</f>
        <v/>
      </c>
      <c r="M616" s="21" t="n"/>
      <c r="N616" s="21" t="n"/>
      <c r="O616" s="21" t="n"/>
    </row>
    <row r="617">
      <c r="A617" s="24" t="n"/>
      <c r="B617" s="21" t="n"/>
      <c r="C617" s="21" t="n"/>
      <c r="D617" s="21" t="n"/>
      <c r="E617" s="21" t="n"/>
      <c r="F617" s="28" t="n"/>
      <c r="G617" s="28" t="n"/>
      <c r="H617" s="26" t="n"/>
      <c r="I617" s="10">
        <f>IF(H617&lt;&gt;"",H617,IF(AND(F617&lt;&gt;"",G617&lt;&gt;""),ROUND((G617-F617)*1440,0),""))</f>
        <v/>
      </c>
      <c r="J617" s="26" t="n"/>
      <c r="K617" s="9">
        <f>IF(D617="","",IFERROR(VLOOKUP(D617,参数!$A$5:$C$24,2,0),""))</f>
        <v/>
      </c>
      <c r="L617" s="9">
        <f>IF(D617="","",IFERROR(VLOOKUP(D617,参数!$A$5:$C$24,3,0),""))</f>
        <v/>
      </c>
      <c r="M617" s="21" t="n"/>
      <c r="N617" s="21" t="n"/>
      <c r="O617" s="21" t="n"/>
    </row>
    <row r="618">
      <c r="A618" s="24" t="n"/>
      <c r="B618" s="21" t="n"/>
      <c r="C618" s="21" t="n"/>
      <c r="D618" s="21" t="n"/>
      <c r="E618" s="21" t="n"/>
      <c r="F618" s="28" t="n"/>
      <c r="G618" s="28" t="n"/>
      <c r="H618" s="26" t="n"/>
      <c r="I618" s="10">
        <f>IF(H618&lt;&gt;"",H618,IF(AND(F618&lt;&gt;"",G618&lt;&gt;""),ROUND((G618-F618)*1440,0),""))</f>
        <v/>
      </c>
      <c r="J618" s="26" t="n"/>
      <c r="K618" s="9">
        <f>IF(D618="","",IFERROR(VLOOKUP(D618,参数!$A$5:$C$24,2,0),""))</f>
        <v/>
      </c>
      <c r="L618" s="9">
        <f>IF(D618="","",IFERROR(VLOOKUP(D618,参数!$A$5:$C$24,3,0),""))</f>
        <v/>
      </c>
      <c r="M618" s="21" t="n"/>
      <c r="N618" s="21" t="n"/>
      <c r="O618" s="21" t="n"/>
    </row>
    <row r="619">
      <c r="A619" s="24" t="n"/>
      <c r="B619" s="21" t="n"/>
      <c r="C619" s="21" t="n"/>
      <c r="D619" s="21" t="n"/>
      <c r="E619" s="21" t="n"/>
      <c r="F619" s="28" t="n"/>
      <c r="G619" s="28" t="n"/>
      <c r="H619" s="26" t="n"/>
      <c r="I619" s="10">
        <f>IF(H619&lt;&gt;"",H619,IF(AND(F619&lt;&gt;"",G619&lt;&gt;""),ROUND((G619-F619)*1440,0),""))</f>
        <v/>
      </c>
      <c r="J619" s="26" t="n"/>
      <c r="K619" s="9">
        <f>IF(D619="","",IFERROR(VLOOKUP(D619,参数!$A$5:$C$24,2,0),""))</f>
        <v/>
      </c>
      <c r="L619" s="9">
        <f>IF(D619="","",IFERROR(VLOOKUP(D619,参数!$A$5:$C$24,3,0),""))</f>
        <v/>
      </c>
      <c r="M619" s="21" t="n"/>
      <c r="N619" s="21" t="n"/>
      <c r="O619" s="21" t="n"/>
    </row>
    <row r="620">
      <c r="A620" s="24" t="n"/>
      <c r="B620" s="21" t="n"/>
      <c r="C620" s="21" t="n"/>
      <c r="D620" s="21" t="n"/>
      <c r="E620" s="21" t="n"/>
      <c r="F620" s="28" t="n"/>
      <c r="G620" s="28" t="n"/>
      <c r="H620" s="26" t="n"/>
      <c r="I620" s="10">
        <f>IF(H620&lt;&gt;"",H620,IF(AND(F620&lt;&gt;"",G620&lt;&gt;""),ROUND((G620-F620)*1440,0),""))</f>
        <v/>
      </c>
      <c r="J620" s="26" t="n"/>
      <c r="K620" s="9">
        <f>IF(D620="","",IFERROR(VLOOKUP(D620,参数!$A$5:$C$24,2,0),""))</f>
        <v/>
      </c>
      <c r="L620" s="9">
        <f>IF(D620="","",IFERROR(VLOOKUP(D620,参数!$A$5:$C$24,3,0),""))</f>
        <v/>
      </c>
      <c r="M620" s="21" t="n"/>
      <c r="N620" s="21" t="n"/>
      <c r="O620" s="21" t="n"/>
    </row>
    <row r="621">
      <c r="A621" s="24" t="n"/>
      <c r="B621" s="21" t="n"/>
      <c r="C621" s="21" t="n"/>
      <c r="D621" s="21" t="n"/>
      <c r="E621" s="21" t="n"/>
      <c r="F621" s="28" t="n"/>
      <c r="G621" s="28" t="n"/>
      <c r="H621" s="26" t="n"/>
      <c r="I621" s="10">
        <f>IF(H621&lt;&gt;"",H621,IF(AND(F621&lt;&gt;"",G621&lt;&gt;""),ROUND((G621-F621)*1440,0),""))</f>
        <v/>
      </c>
      <c r="J621" s="26" t="n"/>
      <c r="K621" s="9">
        <f>IF(D621="","",IFERROR(VLOOKUP(D621,参数!$A$5:$C$24,2,0),""))</f>
        <v/>
      </c>
      <c r="L621" s="9">
        <f>IF(D621="","",IFERROR(VLOOKUP(D621,参数!$A$5:$C$24,3,0),""))</f>
        <v/>
      </c>
      <c r="M621" s="21" t="n"/>
      <c r="N621" s="21" t="n"/>
      <c r="O621" s="21" t="n"/>
    </row>
    <row r="622">
      <c r="A622" s="24" t="n"/>
      <c r="B622" s="21" t="n"/>
      <c r="C622" s="21" t="n"/>
      <c r="D622" s="21" t="n"/>
      <c r="E622" s="21" t="n"/>
      <c r="F622" s="28" t="n"/>
      <c r="G622" s="28" t="n"/>
      <c r="H622" s="26" t="n"/>
      <c r="I622" s="10">
        <f>IF(H622&lt;&gt;"",H622,IF(AND(F622&lt;&gt;"",G622&lt;&gt;""),ROUND((G622-F622)*1440,0),""))</f>
        <v/>
      </c>
      <c r="J622" s="26" t="n"/>
      <c r="K622" s="9">
        <f>IF(D622="","",IFERROR(VLOOKUP(D622,参数!$A$5:$C$24,2,0),""))</f>
        <v/>
      </c>
      <c r="L622" s="9">
        <f>IF(D622="","",IFERROR(VLOOKUP(D622,参数!$A$5:$C$24,3,0),""))</f>
        <v/>
      </c>
      <c r="M622" s="21" t="n"/>
      <c r="N622" s="21" t="n"/>
      <c r="O622" s="21" t="n"/>
    </row>
    <row r="623">
      <c r="A623" s="24" t="n"/>
      <c r="B623" s="21" t="n"/>
      <c r="C623" s="21" t="n"/>
      <c r="D623" s="21" t="n"/>
      <c r="E623" s="21" t="n"/>
      <c r="F623" s="28" t="n"/>
      <c r="G623" s="28" t="n"/>
      <c r="H623" s="26" t="n"/>
      <c r="I623" s="10">
        <f>IF(H623&lt;&gt;"",H623,IF(AND(F623&lt;&gt;"",G623&lt;&gt;""),ROUND((G623-F623)*1440,0),""))</f>
        <v/>
      </c>
      <c r="J623" s="26" t="n"/>
      <c r="K623" s="9">
        <f>IF(D623="","",IFERROR(VLOOKUP(D623,参数!$A$5:$C$24,2,0),""))</f>
        <v/>
      </c>
      <c r="L623" s="9">
        <f>IF(D623="","",IFERROR(VLOOKUP(D623,参数!$A$5:$C$24,3,0),""))</f>
        <v/>
      </c>
      <c r="M623" s="21" t="n"/>
      <c r="N623" s="21" t="n"/>
      <c r="O623" s="21" t="n"/>
    </row>
    <row r="624">
      <c r="A624" s="24" t="n"/>
      <c r="B624" s="21" t="n"/>
      <c r="C624" s="21" t="n"/>
      <c r="D624" s="21" t="n"/>
      <c r="E624" s="21" t="n"/>
      <c r="F624" s="28" t="n"/>
      <c r="G624" s="28" t="n"/>
      <c r="H624" s="26" t="n"/>
      <c r="I624" s="10">
        <f>IF(H624&lt;&gt;"",H624,IF(AND(F624&lt;&gt;"",G624&lt;&gt;""),ROUND((G624-F624)*1440,0),""))</f>
        <v/>
      </c>
      <c r="J624" s="26" t="n"/>
      <c r="K624" s="9">
        <f>IF(D624="","",IFERROR(VLOOKUP(D624,参数!$A$5:$C$24,2,0),""))</f>
        <v/>
      </c>
      <c r="L624" s="9">
        <f>IF(D624="","",IFERROR(VLOOKUP(D624,参数!$A$5:$C$24,3,0),""))</f>
        <v/>
      </c>
      <c r="M624" s="21" t="n"/>
      <c r="N624" s="21" t="n"/>
      <c r="O624" s="21" t="n"/>
    </row>
    <row r="625">
      <c r="A625" s="24" t="n"/>
      <c r="B625" s="21" t="n"/>
      <c r="C625" s="21" t="n"/>
      <c r="D625" s="21" t="n"/>
      <c r="E625" s="21" t="n"/>
      <c r="F625" s="28" t="n"/>
      <c r="G625" s="28" t="n"/>
      <c r="H625" s="26" t="n"/>
      <c r="I625" s="10">
        <f>IF(H625&lt;&gt;"",H625,IF(AND(F625&lt;&gt;"",G625&lt;&gt;""),ROUND((G625-F625)*1440,0),""))</f>
        <v/>
      </c>
      <c r="J625" s="26" t="n"/>
      <c r="K625" s="9">
        <f>IF(D625="","",IFERROR(VLOOKUP(D625,参数!$A$5:$C$24,2,0),""))</f>
        <v/>
      </c>
      <c r="L625" s="9">
        <f>IF(D625="","",IFERROR(VLOOKUP(D625,参数!$A$5:$C$24,3,0),""))</f>
        <v/>
      </c>
      <c r="M625" s="21" t="n"/>
      <c r="N625" s="21" t="n"/>
      <c r="O625" s="21" t="n"/>
    </row>
    <row r="626">
      <c r="A626" s="24" t="n"/>
      <c r="B626" s="21" t="n"/>
      <c r="C626" s="21" t="n"/>
      <c r="D626" s="21" t="n"/>
      <c r="E626" s="21" t="n"/>
      <c r="F626" s="28" t="n"/>
      <c r="G626" s="28" t="n"/>
      <c r="H626" s="26" t="n"/>
      <c r="I626" s="10">
        <f>IF(H626&lt;&gt;"",H626,IF(AND(F626&lt;&gt;"",G626&lt;&gt;""),ROUND((G626-F626)*1440,0),""))</f>
        <v/>
      </c>
      <c r="J626" s="26" t="n"/>
      <c r="K626" s="9">
        <f>IF(D626="","",IFERROR(VLOOKUP(D626,参数!$A$5:$C$24,2,0),""))</f>
        <v/>
      </c>
      <c r="L626" s="9">
        <f>IF(D626="","",IFERROR(VLOOKUP(D626,参数!$A$5:$C$24,3,0),""))</f>
        <v/>
      </c>
      <c r="M626" s="21" t="n"/>
      <c r="N626" s="21" t="n"/>
      <c r="O626" s="21" t="n"/>
    </row>
    <row r="627">
      <c r="A627" s="24" t="n"/>
      <c r="B627" s="21" t="n"/>
      <c r="C627" s="21" t="n"/>
      <c r="D627" s="21" t="n"/>
      <c r="E627" s="21" t="n"/>
      <c r="F627" s="28" t="n"/>
      <c r="G627" s="28" t="n"/>
      <c r="H627" s="26" t="n"/>
      <c r="I627" s="10">
        <f>IF(H627&lt;&gt;"",H627,IF(AND(F627&lt;&gt;"",G627&lt;&gt;""),ROUND((G627-F627)*1440,0),""))</f>
        <v/>
      </c>
      <c r="J627" s="26" t="n"/>
      <c r="K627" s="9">
        <f>IF(D627="","",IFERROR(VLOOKUP(D627,参数!$A$5:$C$24,2,0),""))</f>
        <v/>
      </c>
      <c r="L627" s="9">
        <f>IF(D627="","",IFERROR(VLOOKUP(D627,参数!$A$5:$C$24,3,0),""))</f>
        <v/>
      </c>
      <c r="M627" s="21" t="n"/>
      <c r="N627" s="21" t="n"/>
      <c r="O627" s="21" t="n"/>
    </row>
    <row r="628">
      <c r="A628" s="24" t="n"/>
      <c r="B628" s="21" t="n"/>
      <c r="C628" s="21" t="n"/>
      <c r="D628" s="21" t="n"/>
      <c r="E628" s="21" t="n"/>
      <c r="F628" s="28" t="n"/>
      <c r="G628" s="28" t="n"/>
      <c r="H628" s="26" t="n"/>
      <c r="I628" s="10">
        <f>IF(H628&lt;&gt;"",H628,IF(AND(F628&lt;&gt;"",G628&lt;&gt;""),ROUND((G628-F628)*1440,0),""))</f>
        <v/>
      </c>
      <c r="J628" s="26" t="n"/>
      <c r="K628" s="9">
        <f>IF(D628="","",IFERROR(VLOOKUP(D628,参数!$A$5:$C$24,2,0),""))</f>
        <v/>
      </c>
      <c r="L628" s="9">
        <f>IF(D628="","",IFERROR(VLOOKUP(D628,参数!$A$5:$C$24,3,0),""))</f>
        <v/>
      </c>
      <c r="M628" s="21" t="n"/>
      <c r="N628" s="21" t="n"/>
      <c r="O628" s="21" t="n"/>
    </row>
    <row r="629">
      <c r="A629" s="24" t="n"/>
      <c r="B629" s="21" t="n"/>
      <c r="C629" s="21" t="n"/>
      <c r="D629" s="21" t="n"/>
      <c r="E629" s="21" t="n"/>
      <c r="F629" s="28" t="n"/>
      <c r="G629" s="28" t="n"/>
      <c r="H629" s="26" t="n"/>
      <c r="I629" s="10">
        <f>IF(H629&lt;&gt;"",H629,IF(AND(F629&lt;&gt;"",G629&lt;&gt;""),ROUND((G629-F629)*1440,0),""))</f>
        <v/>
      </c>
      <c r="J629" s="26" t="n"/>
      <c r="K629" s="9">
        <f>IF(D629="","",IFERROR(VLOOKUP(D629,参数!$A$5:$C$24,2,0),""))</f>
        <v/>
      </c>
      <c r="L629" s="9">
        <f>IF(D629="","",IFERROR(VLOOKUP(D629,参数!$A$5:$C$24,3,0),""))</f>
        <v/>
      </c>
      <c r="M629" s="21" t="n"/>
      <c r="N629" s="21" t="n"/>
      <c r="O629" s="21" t="n"/>
    </row>
    <row r="630">
      <c r="A630" s="24" t="n"/>
      <c r="B630" s="21" t="n"/>
      <c r="C630" s="21" t="n"/>
      <c r="D630" s="21" t="n"/>
      <c r="E630" s="21" t="n"/>
      <c r="F630" s="28" t="n"/>
      <c r="G630" s="28" t="n"/>
      <c r="H630" s="26" t="n"/>
      <c r="I630" s="10">
        <f>IF(H630&lt;&gt;"",H630,IF(AND(F630&lt;&gt;"",G630&lt;&gt;""),ROUND((G630-F630)*1440,0),""))</f>
        <v/>
      </c>
      <c r="J630" s="26" t="n"/>
      <c r="K630" s="9">
        <f>IF(D630="","",IFERROR(VLOOKUP(D630,参数!$A$5:$C$24,2,0),""))</f>
        <v/>
      </c>
      <c r="L630" s="9">
        <f>IF(D630="","",IFERROR(VLOOKUP(D630,参数!$A$5:$C$24,3,0),""))</f>
        <v/>
      </c>
      <c r="M630" s="21" t="n"/>
      <c r="N630" s="21" t="n"/>
      <c r="O630" s="21" t="n"/>
    </row>
    <row r="631">
      <c r="A631" s="24" t="n"/>
      <c r="B631" s="21" t="n"/>
      <c r="C631" s="21" t="n"/>
      <c r="D631" s="21" t="n"/>
      <c r="E631" s="21" t="n"/>
      <c r="F631" s="28" t="n"/>
      <c r="G631" s="28" t="n"/>
      <c r="H631" s="26" t="n"/>
      <c r="I631" s="10">
        <f>IF(H631&lt;&gt;"",H631,IF(AND(F631&lt;&gt;"",G631&lt;&gt;""),ROUND((G631-F631)*1440,0),""))</f>
        <v/>
      </c>
      <c r="J631" s="26" t="n"/>
      <c r="K631" s="9">
        <f>IF(D631="","",IFERROR(VLOOKUP(D631,参数!$A$5:$C$24,2,0),""))</f>
        <v/>
      </c>
      <c r="L631" s="9">
        <f>IF(D631="","",IFERROR(VLOOKUP(D631,参数!$A$5:$C$24,3,0),""))</f>
        <v/>
      </c>
      <c r="M631" s="21" t="n"/>
      <c r="N631" s="21" t="n"/>
      <c r="O631" s="21" t="n"/>
    </row>
    <row r="632">
      <c r="A632" s="24" t="n"/>
      <c r="B632" s="21" t="n"/>
      <c r="C632" s="21" t="n"/>
      <c r="D632" s="21" t="n"/>
      <c r="E632" s="21" t="n"/>
      <c r="F632" s="28" t="n"/>
      <c r="G632" s="28" t="n"/>
      <c r="H632" s="26" t="n"/>
      <c r="I632" s="10">
        <f>IF(H632&lt;&gt;"",H632,IF(AND(F632&lt;&gt;"",G632&lt;&gt;""),ROUND((G632-F632)*1440,0),""))</f>
        <v/>
      </c>
      <c r="J632" s="26" t="n"/>
      <c r="K632" s="9">
        <f>IF(D632="","",IFERROR(VLOOKUP(D632,参数!$A$5:$C$24,2,0),""))</f>
        <v/>
      </c>
      <c r="L632" s="9">
        <f>IF(D632="","",IFERROR(VLOOKUP(D632,参数!$A$5:$C$24,3,0),""))</f>
        <v/>
      </c>
      <c r="M632" s="21" t="n"/>
      <c r="N632" s="21" t="n"/>
      <c r="O632" s="21" t="n"/>
    </row>
    <row r="633">
      <c r="A633" s="24" t="n"/>
      <c r="B633" s="21" t="n"/>
      <c r="C633" s="21" t="n"/>
      <c r="D633" s="21" t="n"/>
      <c r="E633" s="21" t="n"/>
      <c r="F633" s="28" t="n"/>
      <c r="G633" s="28" t="n"/>
      <c r="H633" s="26" t="n"/>
      <c r="I633" s="10">
        <f>IF(H633&lt;&gt;"",H633,IF(AND(F633&lt;&gt;"",G633&lt;&gt;""),ROUND((G633-F633)*1440,0),""))</f>
        <v/>
      </c>
      <c r="J633" s="26" t="n"/>
      <c r="K633" s="9">
        <f>IF(D633="","",IFERROR(VLOOKUP(D633,参数!$A$5:$C$24,2,0),""))</f>
        <v/>
      </c>
      <c r="L633" s="9">
        <f>IF(D633="","",IFERROR(VLOOKUP(D633,参数!$A$5:$C$24,3,0),""))</f>
        <v/>
      </c>
      <c r="M633" s="21" t="n"/>
      <c r="N633" s="21" t="n"/>
      <c r="O633" s="21" t="n"/>
    </row>
    <row r="634">
      <c r="A634" s="24" t="n"/>
      <c r="B634" s="21" t="n"/>
      <c r="C634" s="21" t="n"/>
      <c r="D634" s="21" t="n"/>
      <c r="E634" s="21" t="n"/>
      <c r="F634" s="28" t="n"/>
      <c r="G634" s="28" t="n"/>
      <c r="H634" s="26" t="n"/>
      <c r="I634" s="10">
        <f>IF(H634&lt;&gt;"",H634,IF(AND(F634&lt;&gt;"",G634&lt;&gt;""),ROUND((G634-F634)*1440,0),""))</f>
        <v/>
      </c>
      <c r="J634" s="26" t="n"/>
      <c r="K634" s="9">
        <f>IF(D634="","",IFERROR(VLOOKUP(D634,参数!$A$5:$C$24,2,0),""))</f>
        <v/>
      </c>
      <c r="L634" s="9">
        <f>IF(D634="","",IFERROR(VLOOKUP(D634,参数!$A$5:$C$24,3,0),""))</f>
        <v/>
      </c>
      <c r="M634" s="21" t="n"/>
      <c r="N634" s="21" t="n"/>
      <c r="O634" s="21" t="n"/>
    </row>
    <row r="635">
      <c r="A635" s="24" t="n"/>
      <c r="B635" s="21" t="n"/>
      <c r="C635" s="21" t="n"/>
      <c r="D635" s="21" t="n"/>
      <c r="E635" s="21" t="n"/>
      <c r="F635" s="28" t="n"/>
      <c r="G635" s="28" t="n"/>
      <c r="H635" s="26" t="n"/>
      <c r="I635" s="10">
        <f>IF(H635&lt;&gt;"",H635,IF(AND(F635&lt;&gt;"",G635&lt;&gt;""),ROUND((G635-F635)*1440,0),""))</f>
        <v/>
      </c>
      <c r="J635" s="26" t="n"/>
      <c r="K635" s="9">
        <f>IF(D635="","",IFERROR(VLOOKUP(D635,参数!$A$5:$C$24,2,0),""))</f>
        <v/>
      </c>
      <c r="L635" s="9">
        <f>IF(D635="","",IFERROR(VLOOKUP(D635,参数!$A$5:$C$24,3,0),""))</f>
        <v/>
      </c>
      <c r="M635" s="21" t="n"/>
      <c r="N635" s="21" t="n"/>
      <c r="O635" s="21" t="n"/>
    </row>
    <row r="636">
      <c r="A636" s="24" t="n"/>
      <c r="B636" s="21" t="n"/>
      <c r="C636" s="21" t="n"/>
      <c r="D636" s="21" t="n"/>
      <c r="E636" s="21" t="n"/>
      <c r="F636" s="28" t="n"/>
      <c r="G636" s="28" t="n"/>
      <c r="H636" s="26" t="n"/>
      <c r="I636" s="10">
        <f>IF(H636&lt;&gt;"",H636,IF(AND(F636&lt;&gt;"",G636&lt;&gt;""),ROUND((G636-F636)*1440,0),""))</f>
        <v/>
      </c>
      <c r="J636" s="26" t="n"/>
      <c r="K636" s="9">
        <f>IF(D636="","",IFERROR(VLOOKUP(D636,参数!$A$5:$C$24,2,0),""))</f>
        <v/>
      </c>
      <c r="L636" s="9">
        <f>IF(D636="","",IFERROR(VLOOKUP(D636,参数!$A$5:$C$24,3,0),""))</f>
        <v/>
      </c>
      <c r="M636" s="21" t="n"/>
      <c r="N636" s="21" t="n"/>
      <c r="O636" s="21" t="n"/>
    </row>
    <row r="637">
      <c r="A637" s="24" t="n"/>
      <c r="B637" s="21" t="n"/>
      <c r="C637" s="21" t="n"/>
      <c r="D637" s="21" t="n"/>
      <c r="E637" s="21" t="n"/>
      <c r="F637" s="28" t="n"/>
      <c r="G637" s="28" t="n"/>
      <c r="H637" s="26" t="n"/>
      <c r="I637" s="10">
        <f>IF(H637&lt;&gt;"",H637,IF(AND(F637&lt;&gt;"",G637&lt;&gt;""),ROUND((G637-F637)*1440,0),""))</f>
        <v/>
      </c>
      <c r="J637" s="26" t="n"/>
      <c r="K637" s="9">
        <f>IF(D637="","",IFERROR(VLOOKUP(D637,参数!$A$5:$C$24,2,0),""))</f>
        <v/>
      </c>
      <c r="L637" s="9">
        <f>IF(D637="","",IFERROR(VLOOKUP(D637,参数!$A$5:$C$24,3,0),""))</f>
        <v/>
      </c>
      <c r="M637" s="21" t="n"/>
      <c r="N637" s="21" t="n"/>
      <c r="O637" s="21" t="n"/>
    </row>
    <row r="638">
      <c r="A638" s="24" t="n"/>
      <c r="B638" s="21" t="n"/>
      <c r="C638" s="21" t="n"/>
      <c r="D638" s="21" t="n"/>
      <c r="E638" s="21" t="n"/>
      <c r="F638" s="28" t="n"/>
      <c r="G638" s="28" t="n"/>
      <c r="H638" s="26" t="n"/>
      <c r="I638" s="10">
        <f>IF(H638&lt;&gt;"",H638,IF(AND(F638&lt;&gt;"",G638&lt;&gt;""),ROUND((G638-F638)*1440,0),""))</f>
        <v/>
      </c>
      <c r="J638" s="26" t="n"/>
      <c r="K638" s="9">
        <f>IF(D638="","",IFERROR(VLOOKUP(D638,参数!$A$5:$C$24,2,0),""))</f>
        <v/>
      </c>
      <c r="L638" s="9">
        <f>IF(D638="","",IFERROR(VLOOKUP(D638,参数!$A$5:$C$24,3,0),""))</f>
        <v/>
      </c>
      <c r="M638" s="21" t="n"/>
      <c r="N638" s="21" t="n"/>
      <c r="O638" s="21" t="n"/>
    </row>
    <row r="639">
      <c r="A639" s="24" t="n"/>
      <c r="B639" s="21" t="n"/>
      <c r="C639" s="21" t="n"/>
      <c r="D639" s="21" t="n"/>
      <c r="E639" s="21" t="n"/>
      <c r="F639" s="28" t="n"/>
      <c r="G639" s="28" t="n"/>
      <c r="H639" s="26" t="n"/>
      <c r="I639" s="10">
        <f>IF(H639&lt;&gt;"",H639,IF(AND(F639&lt;&gt;"",G639&lt;&gt;""),ROUND((G639-F639)*1440,0),""))</f>
        <v/>
      </c>
      <c r="J639" s="26" t="n"/>
      <c r="K639" s="9">
        <f>IF(D639="","",IFERROR(VLOOKUP(D639,参数!$A$5:$C$24,2,0),""))</f>
        <v/>
      </c>
      <c r="L639" s="9">
        <f>IF(D639="","",IFERROR(VLOOKUP(D639,参数!$A$5:$C$24,3,0),""))</f>
        <v/>
      </c>
      <c r="M639" s="21" t="n"/>
      <c r="N639" s="21" t="n"/>
      <c r="O639" s="21" t="n"/>
    </row>
    <row r="640">
      <c r="A640" s="24" t="n"/>
      <c r="B640" s="21" t="n"/>
      <c r="C640" s="21" t="n"/>
      <c r="D640" s="21" t="n"/>
      <c r="E640" s="21" t="n"/>
      <c r="F640" s="28" t="n"/>
      <c r="G640" s="28" t="n"/>
      <c r="H640" s="26" t="n"/>
      <c r="I640" s="10">
        <f>IF(H640&lt;&gt;"",H640,IF(AND(F640&lt;&gt;"",G640&lt;&gt;""),ROUND((G640-F640)*1440,0),""))</f>
        <v/>
      </c>
      <c r="J640" s="26" t="n"/>
      <c r="K640" s="9">
        <f>IF(D640="","",IFERROR(VLOOKUP(D640,参数!$A$5:$C$24,2,0),""))</f>
        <v/>
      </c>
      <c r="L640" s="9">
        <f>IF(D640="","",IFERROR(VLOOKUP(D640,参数!$A$5:$C$24,3,0),""))</f>
        <v/>
      </c>
      <c r="M640" s="21" t="n"/>
      <c r="N640" s="21" t="n"/>
      <c r="O640" s="21" t="n"/>
    </row>
    <row r="641">
      <c r="A641" s="24" t="n"/>
      <c r="B641" s="21" t="n"/>
      <c r="C641" s="21" t="n"/>
      <c r="D641" s="21" t="n"/>
      <c r="E641" s="21" t="n"/>
      <c r="F641" s="28" t="n"/>
      <c r="G641" s="28" t="n"/>
      <c r="H641" s="26" t="n"/>
      <c r="I641" s="10">
        <f>IF(H641&lt;&gt;"",H641,IF(AND(F641&lt;&gt;"",G641&lt;&gt;""),ROUND((G641-F641)*1440,0),""))</f>
        <v/>
      </c>
      <c r="J641" s="26" t="n"/>
      <c r="K641" s="9">
        <f>IF(D641="","",IFERROR(VLOOKUP(D641,参数!$A$5:$C$24,2,0),""))</f>
        <v/>
      </c>
      <c r="L641" s="9">
        <f>IF(D641="","",IFERROR(VLOOKUP(D641,参数!$A$5:$C$24,3,0),""))</f>
        <v/>
      </c>
      <c r="M641" s="21" t="n"/>
      <c r="N641" s="21" t="n"/>
      <c r="O641" s="21" t="n"/>
    </row>
    <row r="642">
      <c r="A642" s="24" t="n"/>
      <c r="B642" s="21" t="n"/>
      <c r="C642" s="21" t="n"/>
      <c r="D642" s="21" t="n"/>
      <c r="E642" s="21" t="n"/>
      <c r="F642" s="28" t="n"/>
      <c r="G642" s="28" t="n"/>
      <c r="H642" s="26" t="n"/>
      <c r="I642" s="10">
        <f>IF(H642&lt;&gt;"",H642,IF(AND(F642&lt;&gt;"",G642&lt;&gt;""),ROUND((G642-F642)*1440,0),""))</f>
        <v/>
      </c>
      <c r="J642" s="26" t="n"/>
      <c r="K642" s="9">
        <f>IF(D642="","",IFERROR(VLOOKUP(D642,参数!$A$5:$C$24,2,0),""))</f>
        <v/>
      </c>
      <c r="L642" s="9">
        <f>IF(D642="","",IFERROR(VLOOKUP(D642,参数!$A$5:$C$24,3,0),""))</f>
        <v/>
      </c>
      <c r="M642" s="21" t="n"/>
      <c r="N642" s="21" t="n"/>
      <c r="O642" s="21" t="n"/>
    </row>
    <row r="643">
      <c r="A643" s="24" t="n"/>
      <c r="B643" s="21" t="n"/>
      <c r="C643" s="21" t="n"/>
      <c r="D643" s="21" t="n"/>
      <c r="E643" s="21" t="n"/>
      <c r="F643" s="28" t="n"/>
      <c r="G643" s="28" t="n"/>
      <c r="H643" s="26" t="n"/>
      <c r="I643" s="10">
        <f>IF(H643&lt;&gt;"",H643,IF(AND(F643&lt;&gt;"",G643&lt;&gt;""),ROUND((G643-F643)*1440,0),""))</f>
        <v/>
      </c>
      <c r="J643" s="26" t="n"/>
      <c r="K643" s="9">
        <f>IF(D643="","",IFERROR(VLOOKUP(D643,参数!$A$5:$C$24,2,0),""))</f>
        <v/>
      </c>
      <c r="L643" s="9">
        <f>IF(D643="","",IFERROR(VLOOKUP(D643,参数!$A$5:$C$24,3,0),""))</f>
        <v/>
      </c>
      <c r="M643" s="21" t="n"/>
      <c r="N643" s="21" t="n"/>
      <c r="O643" s="21" t="n"/>
    </row>
    <row r="644">
      <c r="A644" s="24" t="n"/>
      <c r="B644" s="21" t="n"/>
      <c r="C644" s="21" t="n"/>
      <c r="D644" s="21" t="n"/>
      <c r="E644" s="21" t="n"/>
      <c r="F644" s="28" t="n"/>
      <c r="G644" s="28" t="n"/>
      <c r="H644" s="26" t="n"/>
      <c r="I644" s="10">
        <f>IF(H644&lt;&gt;"",H644,IF(AND(F644&lt;&gt;"",G644&lt;&gt;""),ROUND((G644-F644)*1440,0),""))</f>
        <v/>
      </c>
      <c r="J644" s="26" t="n"/>
      <c r="K644" s="9">
        <f>IF(D644="","",IFERROR(VLOOKUP(D644,参数!$A$5:$C$24,2,0),""))</f>
        <v/>
      </c>
      <c r="L644" s="9">
        <f>IF(D644="","",IFERROR(VLOOKUP(D644,参数!$A$5:$C$24,3,0),""))</f>
        <v/>
      </c>
      <c r="M644" s="21" t="n"/>
      <c r="N644" s="21" t="n"/>
      <c r="O644" s="21" t="n"/>
    </row>
    <row r="645">
      <c r="A645" s="24" t="n"/>
      <c r="B645" s="21" t="n"/>
      <c r="C645" s="21" t="n"/>
      <c r="D645" s="21" t="n"/>
      <c r="E645" s="21" t="n"/>
      <c r="F645" s="28" t="n"/>
      <c r="G645" s="28" t="n"/>
      <c r="H645" s="26" t="n"/>
      <c r="I645" s="10">
        <f>IF(H645&lt;&gt;"",H645,IF(AND(F645&lt;&gt;"",G645&lt;&gt;""),ROUND((G645-F645)*1440,0),""))</f>
        <v/>
      </c>
      <c r="J645" s="26" t="n"/>
      <c r="K645" s="9">
        <f>IF(D645="","",IFERROR(VLOOKUP(D645,参数!$A$5:$C$24,2,0),""))</f>
        <v/>
      </c>
      <c r="L645" s="9">
        <f>IF(D645="","",IFERROR(VLOOKUP(D645,参数!$A$5:$C$24,3,0),""))</f>
        <v/>
      </c>
      <c r="M645" s="21" t="n"/>
      <c r="N645" s="21" t="n"/>
      <c r="O645" s="21" t="n"/>
    </row>
    <row r="646">
      <c r="A646" s="24" t="n"/>
      <c r="B646" s="21" t="n"/>
      <c r="C646" s="21" t="n"/>
      <c r="D646" s="21" t="n"/>
      <c r="E646" s="21" t="n"/>
      <c r="F646" s="28" t="n"/>
      <c r="G646" s="28" t="n"/>
      <c r="H646" s="26" t="n"/>
      <c r="I646" s="10">
        <f>IF(H646&lt;&gt;"",H646,IF(AND(F646&lt;&gt;"",G646&lt;&gt;""),ROUND((G646-F646)*1440,0),""))</f>
        <v/>
      </c>
      <c r="J646" s="26" t="n"/>
      <c r="K646" s="9">
        <f>IF(D646="","",IFERROR(VLOOKUP(D646,参数!$A$5:$C$24,2,0),""))</f>
        <v/>
      </c>
      <c r="L646" s="9">
        <f>IF(D646="","",IFERROR(VLOOKUP(D646,参数!$A$5:$C$24,3,0),""))</f>
        <v/>
      </c>
      <c r="M646" s="21" t="n"/>
      <c r="N646" s="21" t="n"/>
      <c r="O646" s="21" t="n"/>
    </row>
    <row r="647">
      <c r="A647" s="24" t="n"/>
      <c r="B647" s="21" t="n"/>
      <c r="C647" s="21" t="n"/>
      <c r="D647" s="21" t="n"/>
      <c r="E647" s="21" t="n"/>
      <c r="F647" s="28" t="n"/>
      <c r="G647" s="28" t="n"/>
      <c r="H647" s="26" t="n"/>
      <c r="I647" s="10">
        <f>IF(H647&lt;&gt;"",H647,IF(AND(F647&lt;&gt;"",G647&lt;&gt;""),ROUND((G647-F647)*1440,0),""))</f>
        <v/>
      </c>
      <c r="J647" s="26" t="n"/>
      <c r="K647" s="9">
        <f>IF(D647="","",IFERROR(VLOOKUP(D647,参数!$A$5:$C$24,2,0),""))</f>
        <v/>
      </c>
      <c r="L647" s="9">
        <f>IF(D647="","",IFERROR(VLOOKUP(D647,参数!$A$5:$C$24,3,0),""))</f>
        <v/>
      </c>
      <c r="M647" s="21" t="n"/>
      <c r="N647" s="21" t="n"/>
      <c r="O647" s="21" t="n"/>
    </row>
    <row r="648">
      <c r="A648" s="24" t="n"/>
      <c r="B648" s="21" t="n"/>
      <c r="C648" s="21" t="n"/>
      <c r="D648" s="21" t="n"/>
      <c r="E648" s="21" t="n"/>
      <c r="F648" s="28" t="n"/>
      <c r="G648" s="28" t="n"/>
      <c r="H648" s="26" t="n"/>
      <c r="I648" s="10">
        <f>IF(H648&lt;&gt;"",H648,IF(AND(F648&lt;&gt;"",G648&lt;&gt;""),ROUND((G648-F648)*1440,0),""))</f>
        <v/>
      </c>
      <c r="J648" s="26" t="n"/>
      <c r="K648" s="9">
        <f>IF(D648="","",IFERROR(VLOOKUP(D648,参数!$A$5:$C$24,2,0),""))</f>
        <v/>
      </c>
      <c r="L648" s="9">
        <f>IF(D648="","",IFERROR(VLOOKUP(D648,参数!$A$5:$C$24,3,0),""))</f>
        <v/>
      </c>
      <c r="M648" s="21" t="n"/>
      <c r="N648" s="21" t="n"/>
      <c r="O648" s="21" t="n"/>
    </row>
    <row r="649">
      <c r="A649" s="24" t="n"/>
      <c r="B649" s="21" t="n"/>
      <c r="C649" s="21" t="n"/>
      <c r="D649" s="21" t="n"/>
      <c r="E649" s="21" t="n"/>
      <c r="F649" s="28" t="n"/>
      <c r="G649" s="28" t="n"/>
      <c r="H649" s="26" t="n"/>
      <c r="I649" s="10">
        <f>IF(H649&lt;&gt;"",H649,IF(AND(F649&lt;&gt;"",G649&lt;&gt;""),ROUND((G649-F649)*1440,0),""))</f>
        <v/>
      </c>
      <c r="J649" s="26" t="n"/>
      <c r="K649" s="9">
        <f>IF(D649="","",IFERROR(VLOOKUP(D649,参数!$A$5:$C$24,2,0),""))</f>
        <v/>
      </c>
      <c r="L649" s="9">
        <f>IF(D649="","",IFERROR(VLOOKUP(D649,参数!$A$5:$C$24,3,0),""))</f>
        <v/>
      </c>
      <c r="M649" s="21" t="n"/>
      <c r="N649" s="21" t="n"/>
      <c r="O649" s="21" t="n"/>
    </row>
    <row r="650">
      <c r="A650" s="24" t="n"/>
      <c r="B650" s="21" t="n"/>
      <c r="C650" s="21" t="n"/>
      <c r="D650" s="21" t="n"/>
      <c r="E650" s="21" t="n"/>
      <c r="F650" s="28" t="n"/>
      <c r="G650" s="28" t="n"/>
      <c r="H650" s="26" t="n"/>
      <c r="I650" s="10">
        <f>IF(H650&lt;&gt;"",H650,IF(AND(F650&lt;&gt;"",G650&lt;&gt;""),ROUND((G650-F650)*1440,0),""))</f>
        <v/>
      </c>
      <c r="J650" s="26" t="n"/>
      <c r="K650" s="9">
        <f>IF(D650="","",IFERROR(VLOOKUP(D650,参数!$A$5:$C$24,2,0),""))</f>
        <v/>
      </c>
      <c r="L650" s="9">
        <f>IF(D650="","",IFERROR(VLOOKUP(D650,参数!$A$5:$C$24,3,0),""))</f>
        <v/>
      </c>
      <c r="M650" s="21" t="n"/>
      <c r="N650" s="21" t="n"/>
      <c r="O650" s="21" t="n"/>
    </row>
    <row r="651">
      <c r="A651" s="24" t="n"/>
      <c r="B651" s="21" t="n"/>
      <c r="C651" s="21" t="n"/>
      <c r="D651" s="21" t="n"/>
      <c r="E651" s="21" t="n"/>
      <c r="F651" s="28" t="n"/>
      <c r="G651" s="28" t="n"/>
      <c r="H651" s="26" t="n"/>
      <c r="I651" s="10">
        <f>IF(H651&lt;&gt;"",H651,IF(AND(F651&lt;&gt;"",G651&lt;&gt;""),ROUND((G651-F651)*1440,0),""))</f>
        <v/>
      </c>
      <c r="J651" s="26" t="n"/>
      <c r="K651" s="9">
        <f>IF(D651="","",IFERROR(VLOOKUP(D651,参数!$A$5:$C$24,2,0),""))</f>
        <v/>
      </c>
      <c r="L651" s="9">
        <f>IF(D651="","",IFERROR(VLOOKUP(D651,参数!$A$5:$C$24,3,0),""))</f>
        <v/>
      </c>
      <c r="M651" s="21" t="n"/>
      <c r="N651" s="21" t="n"/>
      <c r="O651" s="21" t="n"/>
    </row>
    <row r="652">
      <c r="A652" s="24" t="n"/>
      <c r="B652" s="21" t="n"/>
      <c r="C652" s="21" t="n"/>
      <c r="D652" s="21" t="n"/>
      <c r="E652" s="21" t="n"/>
      <c r="F652" s="28" t="n"/>
      <c r="G652" s="28" t="n"/>
      <c r="H652" s="26" t="n"/>
      <c r="I652" s="10">
        <f>IF(H652&lt;&gt;"",H652,IF(AND(F652&lt;&gt;"",G652&lt;&gt;""),ROUND((G652-F652)*1440,0),""))</f>
        <v/>
      </c>
      <c r="J652" s="26" t="n"/>
      <c r="K652" s="9">
        <f>IF(D652="","",IFERROR(VLOOKUP(D652,参数!$A$5:$C$24,2,0),""))</f>
        <v/>
      </c>
      <c r="L652" s="9">
        <f>IF(D652="","",IFERROR(VLOOKUP(D652,参数!$A$5:$C$24,3,0),""))</f>
        <v/>
      </c>
      <c r="M652" s="21" t="n"/>
      <c r="N652" s="21" t="n"/>
      <c r="O652" s="21" t="n"/>
    </row>
    <row r="653">
      <c r="A653" s="24" t="n"/>
      <c r="B653" s="21" t="n"/>
      <c r="C653" s="21" t="n"/>
      <c r="D653" s="21" t="n"/>
      <c r="E653" s="21" t="n"/>
      <c r="F653" s="28" t="n"/>
      <c r="G653" s="28" t="n"/>
      <c r="H653" s="26" t="n"/>
      <c r="I653" s="10">
        <f>IF(H653&lt;&gt;"",H653,IF(AND(F653&lt;&gt;"",G653&lt;&gt;""),ROUND((G653-F653)*1440,0),""))</f>
        <v/>
      </c>
      <c r="J653" s="26" t="n"/>
      <c r="K653" s="9">
        <f>IF(D653="","",IFERROR(VLOOKUP(D653,参数!$A$5:$C$24,2,0),""))</f>
        <v/>
      </c>
      <c r="L653" s="9">
        <f>IF(D653="","",IFERROR(VLOOKUP(D653,参数!$A$5:$C$24,3,0),""))</f>
        <v/>
      </c>
      <c r="M653" s="21" t="n"/>
      <c r="N653" s="21" t="n"/>
      <c r="O653" s="21" t="n"/>
    </row>
    <row r="654">
      <c r="A654" s="24" t="n"/>
      <c r="B654" s="21" t="n"/>
      <c r="C654" s="21" t="n"/>
      <c r="D654" s="21" t="n"/>
      <c r="E654" s="21" t="n"/>
      <c r="F654" s="28" t="n"/>
      <c r="G654" s="28" t="n"/>
      <c r="H654" s="26" t="n"/>
      <c r="I654" s="10">
        <f>IF(H654&lt;&gt;"",H654,IF(AND(F654&lt;&gt;"",G654&lt;&gt;""),ROUND((G654-F654)*1440,0),""))</f>
        <v/>
      </c>
      <c r="J654" s="26" t="n"/>
      <c r="K654" s="9">
        <f>IF(D654="","",IFERROR(VLOOKUP(D654,参数!$A$5:$C$24,2,0),""))</f>
        <v/>
      </c>
      <c r="L654" s="9">
        <f>IF(D654="","",IFERROR(VLOOKUP(D654,参数!$A$5:$C$24,3,0),""))</f>
        <v/>
      </c>
      <c r="M654" s="21" t="n"/>
      <c r="N654" s="21" t="n"/>
      <c r="O654" s="21" t="n"/>
    </row>
    <row r="655">
      <c r="A655" s="24" t="n"/>
      <c r="B655" s="21" t="n"/>
      <c r="C655" s="21" t="n"/>
      <c r="D655" s="21" t="n"/>
      <c r="E655" s="21" t="n"/>
      <c r="F655" s="28" t="n"/>
      <c r="G655" s="28" t="n"/>
      <c r="H655" s="26" t="n"/>
      <c r="I655" s="10">
        <f>IF(H655&lt;&gt;"",H655,IF(AND(F655&lt;&gt;"",G655&lt;&gt;""),ROUND((G655-F655)*1440,0),""))</f>
        <v/>
      </c>
      <c r="J655" s="26" t="n"/>
      <c r="K655" s="9">
        <f>IF(D655="","",IFERROR(VLOOKUP(D655,参数!$A$5:$C$24,2,0),""))</f>
        <v/>
      </c>
      <c r="L655" s="9">
        <f>IF(D655="","",IFERROR(VLOOKUP(D655,参数!$A$5:$C$24,3,0),""))</f>
        <v/>
      </c>
      <c r="M655" s="21" t="n"/>
      <c r="N655" s="21" t="n"/>
      <c r="O655" s="21" t="n"/>
    </row>
    <row r="656">
      <c r="A656" s="24" t="n"/>
      <c r="B656" s="21" t="n"/>
      <c r="C656" s="21" t="n"/>
      <c r="D656" s="21" t="n"/>
      <c r="E656" s="21" t="n"/>
      <c r="F656" s="28" t="n"/>
      <c r="G656" s="28" t="n"/>
      <c r="H656" s="26" t="n"/>
      <c r="I656" s="10">
        <f>IF(H656&lt;&gt;"",H656,IF(AND(F656&lt;&gt;"",G656&lt;&gt;""),ROUND((G656-F656)*1440,0),""))</f>
        <v/>
      </c>
      <c r="J656" s="26" t="n"/>
      <c r="K656" s="9">
        <f>IF(D656="","",IFERROR(VLOOKUP(D656,参数!$A$5:$C$24,2,0),""))</f>
        <v/>
      </c>
      <c r="L656" s="9">
        <f>IF(D656="","",IFERROR(VLOOKUP(D656,参数!$A$5:$C$24,3,0),""))</f>
        <v/>
      </c>
      <c r="M656" s="21" t="n"/>
      <c r="N656" s="21" t="n"/>
      <c r="O656" s="21" t="n"/>
    </row>
    <row r="657">
      <c r="A657" s="24" t="n"/>
      <c r="B657" s="21" t="n"/>
      <c r="C657" s="21" t="n"/>
      <c r="D657" s="21" t="n"/>
      <c r="E657" s="21" t="n"/>
      <c r="F657" s="28" t="n"/>
      <c r="G657" s="28" t="n"/>
      <c r="H657" s="26" t="n"/>
      <c r="I657" s="10">
        <f>IF(H657&lt;&gt;"",H657,IF(AND(F657&lt;&gt;"",G657&lt;&gt;""),ROUND((G657-F657)*1440,0),""))</f>
        <v/>
      </c>
      <c r="J657" s="26" t="n"/>
      <c r="K657" s="9">
        <f>IF(D657="","",IFERROR(VLOOKUP(D657,参数!$A$5:$C$24,2,0),""))</f>
        <v/>
      </c>
      <c r="L657" s="9">
        <f>IF(D657="","",IFERROR(VLOOKUP(D657,参数!$A$5:$C$24,3,0),""))</f>
        <v/>
      </c>
      <c r="M657" s="21" t="n"/>
      <c r="N657" s="21" t="n"/>
      <c r="O657" s="21" t="n"/>
    </row>
    <row r="658">
      <c r="A658" s="24" t="n"/>
      <c r="B658" s="21" t="n"/>
      <c r="C658" s="21" t="n"/>
      <c r="D658" s="21" t="n"/>
      <c r="E658" s="21" t="n"/>
      <c r="F658" s="28" t="n"/>
      <c r="G658" s="28" t="n"/>
      <c r="H658" s="26" t="n"/>
      <c r="I658" s="10">
        <f>IF(H658&lt;&gt;"",H658,IF(AND(F658&lt;&gt;"",G658&lt;&gt;""),ROUND((G658-F658)*1440,0),""))</f>
        <v/>
      </c>
      <c r="J658" s="26" t="n"/>
      <c r="K658" s="9">
        <f>IF(D658="","",IFERROR(VLOOKUP(D658,参数!$A$5:$C$24,2,0),""))</f>
        <v/>
      </c>
      <c r="L658" s="9">
        <f>IF(D658="","",IFERROR(VLOOKUP(D658,参数!$A$5:$C$24,3,0),""))</f>
        <v/>
      </c>
      <c r="M658" s="21" t="n"/>
      <c r="N658" s="21" t="n"/>
      <c r="O658" s="21" t="n"/>
    </row>
    <row r="659">
      <c r="A659" s="24" t="n"/>
      <c r="B659" s="21" t="n"/>
      <c r="C659" s="21" t="n"/>
      <c r="D659" s="21" t="n"/>
      <c r="E659" s="21" t="n"/>
      <c r="F659" s="28" t="n"/>
      <c r="G659" s="28" t="n"/>
      <c r="H659" s="26" t="n"/>
      <c r="I659" s="10">
        <f>IF(H659&lt;&gt;"",H659,IF(AND(F659&lt;&gt;"",G659&lt;&gt;""),ROUND((G659-F659)*1440,0),""))</f>
        <v/>
      </c>
      <c r="J659" s="26" t="n"/>
      <c r="K659" s="9">
        <f>IF(D659="","",IFERROR(VLOOKUP(D659,参数!$A$5:$C$24,2,0),""))</f>
        <v/>
      </c>
      <c r="L659" s="9">
        <f>IF(D659="","",IFERROR(VLOOKUP(D659,参数!$A$5:$C$24,3,0),""))</f>
        <v/>
      </c>
      <c r="M659" s="21" t="n"/>
      <c r="N659" s="21" t="n"/>
      <c r="O659" s="21" t="n"/>
    </row>
    <row r="660">
      <c r="A660" s="24" t="n"/>
      <c r="B660" s="21" t="n"/>
      <c r="C660" s="21" t="n"/>
      <c r="D660" s="21" t="n"/>
      <c r="E660" s="21" t="n"/>
      <c r="F660" s="28" t="n"/>
      <c r="G660" s="28" t="n"/>
      <c r="H660" s="26" t="n"/>
      <c r="I660" s="10">
        <f>IF(H660&lt;&gt;"",H660,IF(AND(F660&lt;&gt;"",G660&lt;&gt;""),ROUND((G660-F660)*1440,0),""))</f>
        <v/>
      </c>
      <c r="J660" s="26" t="n"/>
      <c r="K660" s="9">
        <f>IF(D660="","",IFERROR(VLOOKUP(D660,参数!$A$5:$C$24,2,0),""))</f>
        <v/>
      </c>
      <c r="L660" s="9">
        <f>IF(D660="","",IFERROR(VLOOKUP(D660,参数!$A$5:$C$24,3,0),""))</f>
        <v/>
      </c>
      <c r="M660" s="21" t="n"/>
      <c r="N660" s="21" t="n"/>
      <c r="O660" s="21" t="n"/>
    </row>
    <row r="661">
      <c r="A661" s="24" t="n"/>
      <c r="B661" s="21" t="n"/>
      <c r="C661" s="21" t="n"/>
      <c r="D661" s="21" t="n"/>
      <c r="E661" s="21" t="n"/>
      <c r="F661" s="28" t="n"/>
      <c r="G661" s="28" t="n"/>
      <c r="H661" s="26" t="n"/>
      <c r="I661" s="10">
        <f>IF(H661&lt;&gt;"",H661,IF(AND(F661&lt;&gt;"",G661&lt;&gt;""),ROUND((G661-F661)*1440,0),""))</f>
        <v/>
      </c>
      <c r="J661" s="26" t="n"/>
      <c r="K661" s="9">
        <f>IF(D661="","",IFERROR(VLOOKUP(D661,参数!$A$5:$C$24,2,0),""))</f>
        <v/>
      </c>
      <c r="L661" s="9">
        <f>IF(D661="","",IFERROR(VLOOKUP(D661,参数!$A$5:$C$24,3,0),""))</f>
        <v/>
      </c>
      <c r="M661" s="21" t="n"/>
      <c r="N661" s="21" t="n"/>
      <c r="O661" s="21" t="n"/>
    </row>
    <row r="662">
      <c r="A662" s="24" t="n"/>
      <c r="B662" s="21" t="n"/>
      <c r="C662" s="21" t="n"/>
      <c r="D662" s="21" t="n"/>
      <c r="E662" s="21" t="n"/>
      <c r="F662" s="28" t="n"/>
      <c r="G662" s="28" t="n"/>
      <c r="H662" s="26" t="n"/>
      <c r="I662" s="10">
        <f>IF(H662&lt;&gt;"",H662,IF(AND(F662&lt;&gt;"",G662&lt;&gt;""),ROUND((G662-F662)*1440,0),""))</f>
        <v/>
      </c>
      <c r="J662" s="26" t="n"/>
      <c r="K662" s="9">
        <f>IF(D662="","",IFERROR(VLOOKUP(D662,参数!$A$5:$C$24,2,0),""))</f>
        <v/>
      </c>
      <c r="L662" s="9">
        <f>IF(D662="","",IFERROR(VLOOKUP(D662,参数!$A$5:$C$24,3,0),""))</f>
        <v/>
      </c>
      <c r="M662" s="21" t="n"/>
      <c r="N662" s="21" t="n"/>
      <c r="O662" s="21" t="n"/>
    </row>
    <row r="663">
      <c r="A663" s="24" t="n"/>
      <c r="B663" s="21" t="n"/>
      <c r="C663" s="21" t="n"/>
      <c r="D663" s="21" t="n"/>
      <c r="E663" s="21" t="n"/>
      <c r="F663" s="28" t="n"/>
      <c r="G663" s="28" t="n"/>
      <c r="H663" s="26" t="n"/>
      <c r="I663" s="10">
        <f>IF(H663&lt;&gt;"",H663,IF(AND(F663&lt;&gt;"",G663&lt;&gt;""),ROUND((G663-F663)*1440,0),""))</f>
        <v/>
      </c>
      <c r="J663" s="26" t="n"/>
      <c r="K663" s="9">
        <f>IF(D663="","",IFERROR(VLOOKUP(D663,参数!$A$5:$C$24,2,0),""))</f>
        <v/>
      </c>
      <c r="L663" s="9">
        <f>IF(D663="","",IFERROR(VLOOKUP(D663,参数!$A$5:$C$24,3,0),""))</f>
        <v/>
      </c>
      <c r="M663" s="21" t="n"/>
      <c r="N663" s="21" t="n"/>
      <c r="O663" s="21" t="n"/>
    </row>
    <row r="664">
      <c r="A664" s="24" t="n"/>
      <c r="B664" s="21" t="n"/>
      <c r="C664" s="21" t="n"/>
      <c r="D664" s="21" t="n"/>
      <c r="E664" s="21" t="n"/>
      <c r="F664" s="28" t="n"/>
      <c r="G664" s="28" t="n"/>
      <c r="H664" s="26" t="n"/>
      <c r="I664" s="10">
        <f>IF(H664&lt;&gt;"",H664,IF(AND(F664&lt;&gt;"",G664&lt;&gt;""),ROUND((G664-F664)*1440,0),""))</f>
        <v/>
      </c>
      <c r="J664" s="26" t="n"/>
      <c r="K664" s="9">
        <f>IF(D664="","",IFERROR(VLOOKUP(D664,参数!$A$5:$C$24,2,0),""))</f>
        <v/>
      </c>
      <c r="L664" s="9">
        <f>IF(D664="","",IFERROR(VLOOKUP(D664,参数!$A$5:$C$24,3,0),""))</f>
        <v/>
      </c>
      <c r="M664" s="21" t="n"/>
      <c r="N664" s="21" t="n"/>
      <c r="O664" s="21" t="n"/>
    </row>
    <row r="665">
      <c r="A665" s="24" t="n"/>
      <c r="B665" s="21" t="n"/>
      <c r="C665" s="21" t="n"/>
      <c r="D665" s="21" t="n"/>
      <c r="E665" s="21" t="n"/>
      <c r="F665" s="28" t="n"/>
      <c r="G665" s="28" t="n"/>
      <c r="H665" s="26" t="n"/>
      <c r="I665" s="10">
        <f>IF(H665&lt;&gt;"",H665,IF(AND(F665&lt;&gt;"",G665&lt;&gt;""),ROUND((G665-F665)*1440,0),""))</f>
        <v/>
      </c>
      <c r="J665" s="26" t="n"/>
      <c r="K665" s="9">
        <f>IF(D665="","",IFERROR(VLOOKUP(D665,参数!$A$5:$C$24,2,0),""))</f>
        <v/>
      </c>
      <c r="L665" s="9">
        <f>IF(D665="","",IFERROR(VLOOKUP(D665,参数!$A$5:$C$24,3,0),""))</f>
        <v/>
      </c>
      <c r="M665" s="21" t="n"/>
      <c r="N665" s="21" t="n"/>
      <c r="O665" s="21" t="n"/>
    </row>
    <row r="666">
      <c r="A666" s="24" t="n"/>
      <c r="B666" s="21" t="n"/>
      <c r="C666" s="21" t="n"/>
      <c r="D666" s="21" t="n"/>
      <c r="E666" s="21" t="n"/>
      <c r="F666" s="28" t="n"/>
      <c r="G666" s="28" t="n"/>
      <c r="H666" s="26" t="n"/>
      <c r="I666" s="10">
        <f>IF(H666&lt;&gt;"",H666,IF(AND(F666&lt;&gt;"",G666&lt;&gt;""),ROUND((G666-F666)*1440,0),""))</f>
        <v/>
      </c>
      <c r="J666" s="26" t="n"/>
      <c r="K666" s="9">
        <f>IF(D666="","",IFERROR(VLOOKUP(D666,参数!$A$5:$C$24,2,0),""))</f>
        <v/>
      </c>
      <c r="L666" s="9">
        <f>IF(D666="","",IFERROR(VLOOKUP(D666,参数!$A$5:$C$24,3,0),""))</f>
        <v/>
      </c>
      <c r="M666" s="21" t="n"/>
      <c r="N666" s="21" t="n"/>
      <c r="O666" s="21" t="n"/>
    </row>
    <row r="667">
      <c r="A667" s="24" t="n"/>
      <c r="B667" s="21" t="n"/>
      <c r="C667" s="21" t="n"/>
      <c r="D667" s="21" t="n"/>
      <c r="E667" s="21" t="n"/>
      <c r="F667" s="28" t="n"/>
      <c r="G667" s="28" t="n"/>
      <c r="H667" s="26" t="n"/>
      <c r="I667" s="10">
        <f>IF(H667&lt;&gt;"",H667,IF(AND(F667&lt;&gt;"",G667&lt;&gt;""),ROUND((G667-F667)*1440,0),""))</f>
        <v/>
      </c>
      <c r="J667" s="26" t="n"/>
      <c r="K667" s="9">
        <f>IF(D667="","",IFERROR(VLOOKUP(D667,参数!$A$5:$C$24,2,0),""))</f>
        <v/>
      </c>
      <c r="L667" s="9">
        <f>IF(D667="","",IFERROR(VLOOKUP(D667,参数!$A$5:$C$24,3,0),""))</f>
        <v/>
      </c>
      <c r="M667" s="21" t="n"/>
      <c r="N667" s="21" t="n"/>
      <c r="O667" s="21" t="n"/>
    </row>
    <row r="668">
      <c r="A668" s="24" t="n"/>
      <c r="B668" s="21" t="n"/>
      <c r="C668" s="21" t="n"/>
      <c r="D668" s="21" t="n"/>
      <c r="E668" s="21" t="n"/>
      <c r="F668" s="28" t="n"/>
      <c r="G668" s="28" t="n"/>
      <c r="H668" s="26" t="n"/>
      <c r="I668" s="10">
        <f>IF(H668&lt;&gt;"",H668,IF(AND(F668&lt;&gt;"",G668&lt;&gt;""),ROUND((G668-F668)*1440,0),""))</f>
        <v/>
      </c>
      <c r="J668" s="26" t="n"/>
      <c r="K668" s="9">
        <f>IF(D668="","",IFERROR(VLOOKUP(D668,参数!$A$5:$C$24,2,0),""))</f>
        <v/>
      </c>
      <c r="L668" s="9">
        <f>IF(D668="","",IFERROR(VLOOKUP(D668,参数!$A$5:$C$24,3,0),""))</f>
        <v/>
      </c>
      <c r="M668" s="21" t="n"/>
      <c r="N668" s="21" t="n"/>
      <c r="O668" s="21" t="n"/>
    </row>
    <row r="669">
      <c r="A669" s="24" t="n"/>
      <c r="B669" s="21" t="n"/>
      <c r="C669" s="21" t="n"/>
      <c r="D669" s="21" t="n"/>
      <c r="E669" s="21" t="n"/>
      <c r="F669" s="28" t="n"/>
      <c r="G669" s="28" t="n"/>
      <c r="H669" s="26" t="n"/>
      <c r="I669" s="10">
        <f>IF(H669&lt;&gt;"",H669,IF(AND(F669&lt;&gt;"",G669&lt;&gt;""),ROUND((G669-F669)*1440,0),""))</f>
        <v/>
      </c>
      <c r="J669" s="26" t="n"/>
      <c r="K669" s="9">
        <f>IF(D669="","",IFERROR(VLOOKUP(D669,参数!$A$5:$C$24,2,0),""))</f>
        <v/>
      </c>
      <c r="L669" s="9">
        <f>IF(D669="","",IFERROR(VLOOKUP(D669,参数!$A$5:$C$24,3,0),""))</f>
        <v/>
      </c>
      <c r="M669" s="21" t="n"/>
      <c r="N669" s="21" t="n"/>
      <c r="O669" s="21" t="n"/>
    </row>
    <row r="670">
      <c r="A670" s="24" t="n"/>
      <c r="B670" s="21" t="n"/>
      <c r="C670" s="21" t="n"/>
      <c r="D670" s="21" t="n"/>
      <c r="E670" s="21" t="n"/>
      <c r="F670" s="28" t="n"/>
      <c r="G670" s="28" t="n"/>
      <c r="H670" s="26" t="n"/>
      <c r="I670" s="10">
        <f>IF(H670&lt;&gt;"",H670,IF(AND(F670&lt;&gt;"",G670&lt;&gt;""),ROUND((G670-F670)*1440,0),""))</f>
        <v/>
      </c>
      <c r="J670" s="26" t="n"/>
      <c r="K670" s="9">
        <f>IF(D670="","",IFERROR(VLOOKUP(D670,参数!$A$5:$C$24,2,0),""))</f>
        <v/>
      </c>
      <c r="L670" s="9">
        <f>IF(D670="","",IFERROR(VLOOKUP(D670,参数!$A$5:$C$24,3,0),""))</f>
        <v/>
      </c>
      <c r="M670" s="21" t="n"/>
      <c r="N670" s="21" t="n"/>
      <c r="O670" s="21" t="n"/>
    </row>
    <row r="671">
      <c r="A671" s="24" t="n"/>
      <c r="B671" s="21" t="n"/>
      <c r="C671" s="21" t="n"/>
      <c r="D671" s="21" t="n"/>
      <c r="E671" s="21" t="n"/>
      <c r="F671" s="28" t="n"/>
      <c r="G671" s="28" t="n"/>
      <c r="H671" s="26" t="n"/>
      <c r="I671" s="10">
        <f>IF(H671&lt;&gt;"",H671,IF(AND(F671&lt;&gt;"",G671&lt;&gt;""),ROUND((G671-F671)*1440,0),""))</f>
        <v/>
      </c>
      <c r="J671" s="26" t="n"/>
      <c r="K671" s="9">
        <f>IF(D671="","",IFERROR(VLOOKUP(D671,参数!$A$5:$C$24,2,0),""))</f>
        <v/>
      </c>
      <c r="L671" s="9">
        <f>IF(D671="","",IFERROR(VLOOKUP(D671,参数!$A$5:$C$24,3,0),""))</f>
        <v/>
      </c>
      <c r="M671" s="21" t="n"/>
      <c r="N671" s="21" t="n"/>
      <c r="O671" s="21" t="n"/>
    </row>
    <row r="672">
      <c r="A672" s="24" t="n"/>
      <c r="B672" s="21" t="n"/>
      <c r="C672" s="21" t="n"/>
      <c r="D672" s="21" t="n"/>
      <c r="E672" s="21" t="n"/>
      <c r="F672" s="28" t="n"/>
      <c r="G672" s="28" t="n"/>
      <c r="H672" s="26" t="n"/>
      <c r="I672" s="10">
        <f>IF(H672&lt;&gt;"",H672,IF(AND(F672&lt;&gt;"",G672&lt;&gt;""),ROUND((G672-F672)*1440,0),""))</f>
        <v/>
      </c>
      <c r="J672" s="26" t="n"/>
      <c r="K672" s="9">
        <f>IF(D672="","",IFERROR(VLOOKUP(D672,参数!$A$5:$C$24,2,0),""))</f>
        <v/>
      </c>
      <c r="L672" s="9">
        <f>IF(D672="","",IFERROR(VLOOKUP(D672,参数!$A$5:$C$24,3,0),""))</f>
        <v/>
      </c>
      <c r="M672" s="21" t="n"/>
      <c r="N672" s="21" t="n"/>
      <c r="O672" s="21" t="n"/>
    </row>
    <row r="673">
      <c r="A673" s="24" t="n"/>
      <c r="B673" s="21" t="n"/>
      <c r="C673" s="21" t="n"/>
      <c r="D673" s="21" t="n"/>
      <c r="E673" s="21" t="n"/>
      <c r="F673" s="28" t="n"/>
      <c r="G673" s="28" t="n"/>
      <c r="H673" s="26" t="n"/>
      <c r="I673" s="10">
        <f>IF(H673&lt;&gt;"",H673,IF(AND(F673&lt;&gt;"",G673&lt;&gt;""),ROUND((G673-F673)*1440,0),""))</f>
        <v/>
      </c>
      <c r="J673" s="26" t="n"/>
      <c r="K673" s="9">
        <f>IF(D673="","",IFERROR(VLOOKUP(D673,参数!$A$5:$C$24,2,0),""))</f>
        <v/>
      </c>
      <c r="L673" s="9">
        <f>IF(D673="","",IFERROR(VLOOKUP(D673,参数!$A$5:$C$24,3,0),""))</f>
        <v/>
      </c>
      <c r="M673" s="21" t="n"/>
      <c r="N673" s="21" t="n"/>
      <c r="O673" s="21" t="n"/>
    </row>
    <row r="674">
      <c r="A674" s="24" t="n"/>
      <c r="B674" s="21" t="n"/>
      <c r="C674" s="21" t="n"/>
      <c r="D674" s="21" t="n"/>
      <c r="E674" s="21" t="n"/>
      <c r="F674" s="28" t="n"/>
      <c r="G674" s="28" t="n"/>
      <c r="H674" s="26" t="n"/>
      <c r="I674" s="10">
        <f>IF(H674&lt;&gt;"",H674,IF(AND(F674&lt;&gt;"",G674&lt;&gt;""),ROUND((G674-F674)*1440,0),""))</f>
        <v/>
      </c>
      <c r="J674" s="26" t="n"/>
      <c r="K674" s="9">
        <f>IF(D674="","",IFERROR(VLOOKUP(D674,参数!$A$5:$C$24,2,0),""))</f>
        <v/>
      </c>
      <c r="L674" s="9">
        <f>IF(D674="","",IFERROR(VLOOKUP(D674,参数!$A$5:$C$24,3,0),""))</f>
        <v/>
      </c>
      <c r="M674" s="21" t="n"/>
      <c r="N674" s="21" t="n"/>
      <c r="O674" s="21" t="n"/>
    </row>
    <row r="675">
      <c r="A675" s="24" t="n"/>
      <c r="B675" s="21" t="n"/>
      <c r="C675" s="21" t="n"/>
      <c r="D675" s="21" t="n"/>
      <c r="E675" s="21" t="n"/>
      <c r="F675" s="28" t="n"/>
      <c r="G675" s="28" t="n"/>
      <c r="H675" s="26" t="n"/>
      <c r="I675" s="10">
        <f>IF(H675&lt;&gt;"",H675,IF(AND(F675&lt;&gt;"",G675&lt;&gt;""),ROUND((G675-F675)*1440,0),""))</f>
        <v/>
      </c>
      <c r="J675" s="26" t="n"/>
      <c r="K675" s="9">
        <f>IF(D675="","",IFERROR(VLOOKUP(D675,参数!$A$5:$C$24,2,0),""))</f>
        <v/>
      </c>
      <c r="L675" s="9">
        <f>IF(D675="","",IFERROR(VLOOKUP(D675,参数!$A$5:$C$24,3,0),""))</f>
        <v/>
      </c>
      <c r="M675" s="21" t="n"/>
      <c r="N675" s="21" t="n"/>
      <c r="O675" s="21" t="n"/>
    </row>
    <row r="676">
      <c r="A676" s="24" t="n"/>
      <c r="B676" s="21" t="n"/>
      <c r="C676" s="21" t="n"/>
      <c r="D676" s="21" t="n"/>
      <c r="E676" s="21" t="n"/>
      <c r="F676" s="28" t="n"/>
      <c r="G676" s="28" t="n"/>
      <c r="H676" s="26" t="n"/>
      <c r="I676" s="10">
        <f>IF(H676&lt;&gt;"",H676,IF(AND(F676&lt;&gt;"",G676&lt;&gt;""),ROUND((G676-F676)*1440,0),""))</f>
        <v/>
      </c>
      <c r="J676" s="26" t="n"/>
      <c r="K676" s="9">
        <f>IF(D676="","",IFERROR(VLOOKUP(D676,参数!$A$5:$C$24,2,0),""))</f>
        <v/>
      </c>
      <c r="L676" s="9">
        <f>IF(D676="","",IFERROR(VLOOKUP(D676,参数!$A$5:$C$24,3,0),""))</f>
        <v/>
      </c>
      <c r="M676" s="21" t="n"/>
      <c r="N676" s="21" t="n"/>
      <c r="O676" s="21" t="n"/>
    </row>
    <row r="677">
      <c r="A677" s="24" t="n"/>
      <c r="B677" s="21" t="n"/>
      <c r="C677" s="21" t="n"/>
      <c r="D677" s="21" t="n"/>
      <c r="E677" s="21" t="n"/>
      <c r="F677" s="28" t="n"/>
      <c r="G677" s="28" t="n"/>
      <c r="H677" s="26" t="n"/>
      <c r="I677" s="10">
        <f>IF(H677&lt;&gt;"",H677,IF(AND(F677&lt;&gt;"",G677&lt;&gt;""),ROUND((G677-F677)*1440,0),""))</f>
        <v/>
      </c>
      <c r="J677" s="26" t="n"/>
      <c r="K677" s="9">
        <f>IF(D677="","",IFERROR(VLOOKUP(D677,参数!$A$5:$C$24,2,0),""))</f>
        <v/>
      </c>
      <c r="L677" s="9">
        <f>IF(D677="","",IFERROR(VLOOKUP(D677,参数!$A$5:$C$24,3,0),""))</f>
        <v/>
      </c>
      <c r="M677" s="21" t="n"/>
      <c r="N677" s="21" t="n"/>
      <c r="O677" s="21" t="n"/>
    </row>
    <row r="678">
      <c r="A678" s="24" t="n"/>
      <c r="B678" s="21" t="n"/>
      <c r="C678" s="21" t="n"/>
      <c r="D678" s="21" t="n"/>
      <c r="E678" s="21" t="n"/>
      <c r="F678" s="28" t="n"/>
      <c r="G678" s="28" t="n"/>
      <c r="H678" s="26" t="n"/>
      <c r="I678" s="10">
        <f>IF(H678&lt;&gt;"",H678,IF(AND(F678&lt;&gt;"",G678&lt;&gt;""),ROUND((G678-F678)*1440,0),""))</f>
        <v/>
      </c>
      <c r="J678" s="26" t="n"/>
      <c r="K678" s="9">
        <f>IF(D678="","",IFERROR(VLOOKUP(D678,参数!$A$5:$C$24,2,0),""))</f>
        <v/>
      </c>
      <c r="L678" s="9">
        <f>IF(D678="","",IFERROR(VLOOKUP(D678,参数!$A$5:$C$24,3,0),""))</f>
        <v/>
      </c>
      <c r="M678" s="21" t="n"/>
      <c r="N678" s="21" t="n"/>
      <c r="O678" s="21" t="n"/>
    </row>
    <row r="679">
      <c r="A679" s="24" t="n"/>
      <c r="B679" s="21" t="n"/>
      <c r="C679" s="21" t="n"/>
      <c r="D679" s="21" t="n"/>
      <c r="E679" s="21" t="n"/>
      <c r="F679" s="28" t="n"/>
      <c r="G679" s="28" t="n"/>
      <c r="H679" s="26" t="n"/>
      <c r="I679" s="10">
        <f>IF(H679&lt;&gt;"",H679,IF(AND(F679&lt;&gt;"",G679&lt;&gt;""),ROUND((G679-F679)*1440,0),""))</f>
        <v/>
      </c>
      <c r="J679" s="26" t="n"/>
      <c r="K679" s="9">
        <f>IF(D679="","",IFERROR(VLOOKUP(D679,参数!$A$5:$C$24,2,0),""))</f>
        <v/>
      </c>
      <c r="L679" s="9">
        <f>IF(D679="","",IFERROR(VLOOKUP(D679,参数!$A$5:$C$24,3,0),""))</f>
        <v/>
      </c>
      <c r="M679" s="21" t="n"/>
      <c r="N679" s="21" t="n"/>
      <c r="O679" s="21" t="n"/>
    </row>
    <row r="680">
      <c r="A680" s="24" t="n"/>
      <c r="B680" s="21" t="n"/>
      <c r="C680" s="21" t="n"/>
      <c r="D680" s="21" t="n"/>
      <c r="E680" s="21" t="n"/>
      <c r="F680" s="28" t="n"/>
      <c r="G680" s="28" t="n"/>
      <c r="H680" s="26" t="n"/>
      <c r="I680" s="10">
        <f>IF(H680&lt;&gt;"",H680,IF(AND(F680&lt;&gt;"",G680&lt;&gt;""),ROUND((G680-F680)*1440,0),""))</f>
        <v/>
      </c>
      <c r="J680" s="26" t="n"/>
      <c r="K680" s="9">
        <f>IF(D680="","",IFERROR(VLOOKUP(D680,参数!$A$5:$C$24,2,0),""))</f>
        <v/>
      </c>
      <c r="L680" s="9">
        <f>IF(D680="","",IFERROR(VLOOKUP(D680,参数!$A$5:$C$24,3,0),""))</f>
        <v/>
      </c>
      <c r="M680" s="21" t="n"/>
      <c r="N680" s="21" t="n"/>
      <c r="O680" s="21" t="n"/>
    </row>
    <row r="681">
      <c r="A681" s="24" t="n"/>
      <c r="B681" s="21" t="n"/>
      <c r="C681" s="21" t="n"/>
      <c r="D681" s="21" t="n"/>
      <c r="E681" s="21" t="n"/>
      <c r="F681" s="28" t="n"/>
      <c r="G681" s="28" t="n"/>
      <c r="H681" s="26" t="n"/>
      <c r="I681" s="10">
        <f>IF(H681&lt;&gt;"",H681,IF(AND(F681&lt;&gt;"",G681&lt;&gt;""),ROUND((G681-F681)*1440,0),""))</f>
        <v/>
      </c>
      <c r="J681" s="26" t="n"/>
      <c r="K681" s="9">
        <f>IF(D681="","",IFERROR(VLOOKUP(D681,参数!$A$5:$C$24,2,0),""))</f>
        <v/>
      </c>
      <c r="L681" s="9">
        <f>IF(D681="","",IFERROR(VLOOKUP(D681,参数!$A$5:$C$24,3,0),""))</f>
        <v/>
      </c>
      <c r="M681" s="21" t="n"/>
      <c r="N681" s="21" t="n"/>
      <c r="O681" s="21" t="n"/>
    </row>
    <row r="682">
      <c r="A682" s="24" t="n"/>
      <c r="B682" s="21" t="n"/>
      <c r="C682" s="21" t="n"/>
      <c r="D682" s="21" t="n"/>
      <c r="E682" s="21" t="n"/>
      <c r="F682" s="28" t="n"/>
      <c r="G682" s="28" t="n"/>
      <c r="H682" s="26" t="n"/>
      <c r="I682" s="10">
        <f>IF(H682&lt;&gt;"",H682,IF(AND(F682&lt;&gt;"",G682&lt;&gt;""),ROUND((G682-F682)*1440,0),""))</f>
        <v/>
      </c>
      <c r="J682" s="26" t="n"/>
      <c r="K682" s="9">
        <f>IF(D682="","",IFERROR(VLOOKUP(D682,参数!$A$5:$C$24,2,0),""))</f>
        <v/>
      </c>
      <c r="L682" s="9">
        <f>IF(D682="","",IFERROR(VLOOKUP(D682,参数!$A$5:$C$24,3,0),""))</f>
        <v/>
      </c>
      <c r="M682" s="21" t="n"/>
      <c r="N682" s="21" t="n"/>
      <c r="O682" s="21" t="n"/>
    </row>
    <row r="683">
      <c r="A683" s="24" t="n"/>
      <c r="B683" s="21" t="n"/>
      <c r="C683" s="21" t="n"/>
      <c r="D683" s="21" t="n"/>
      <c r="E683" s="21" t="n"/>
      <c r="F683" s="28" t="n"/>
      <c r="G683" s="28" t="n"/>
      <c r="H683" s="26" t="n"/>
      <c r="I683" s="10">
        <f>IF(H683&lt;&gt;"",H683,IF(AND(F683&lt;&gt;"",G683&lt;&gt;""),ROUND((G683-F683)*1440,0),""))</f>
        <v/>
      </c>
      <c r="J683" s="26" t="n"/>
      <c r="K683" s="9">
        <f>IF(D683="","",IFERROR(VLOOKUP(D683,参数!$A$5:$C$24,2,0),""))</f>
        <v/>
      </c>
      <c r="L683" s="9">
        <f>IF(D683="","",IFERROR(VLOOKUP(D683,参数!$A$5:$C$24,3,0),""))</f>
        <v/>
      </c>
      <c r="M683" s="21" t="n"/>
      <c r="N683" s="21" t="n"/>
      <c r="O683" s="21" t="n"/>
    </row>
    <row r="684">
      <c r="A684" s="24" t="n"/>
      <c r="B684" s="21" t="n"/>
      <c r="C684" s="21" t="n"/>
      <c r="D684" s="21" t="n"/>
      <c r="E684" s="21" t="n"/>
      <c r="F684" s="28" t="n"/>
      <c r="G684" s="28" t="n"/>
      <c r="H684" s="26" t="n"/>
      <c r="I684" s="10">
        <f>IF(H684&lt;&gt;"",H684,IF(AND(F684&lt;&gt;"",G684&lt;&gt;""),ROUND((G684-F684)*1440,0),""))</f>
        <v/>
      </c>
      <c r="J684" s="26" t="n"/>
      <c r="K684" s="9">
        <f>IF(D684="","",IFERROR(VLOOKUP(D684,参数!$A$5:$C$24,2,0),""))</f>
        <v/>
      </c>
      <c r="L684" s="9">
        <f>IF(D684="","",IFERROR(VLOOKUP(D684,参数!$A$5:$C$24,3,0),""))</f>
        <v/>
      </c>
      <c r="M684" s="21" t="n"/>
      <c r="N684" s="21" t="n"/>
      <c r="O684" s="21" t="n"/>
    </row>
    <row r="685">
      <c r="A685" s="24" t="n"/>
      <c r="B685" s="21" t="n"/>
      <c r="C685" s="21" t="n"/>
      <c r="D685" s="21" t="n"/>
      <c r="E685" s="21" t="n"/>
      <c r="F685" s="28" t="n"/>
      <c r="G685" s="28" t="n"/>
      <c r="H685" s="26" t="n"/>
      <c r="I685" s="10">
        <f>IF(H685&lt;&gt;"",H685,IF(AND(F685&lt;&gt;"",G685&lt;&gt;""),ROUND((G685-F685)*1440,0),""))</f>
        <v/>
      </c>
      <c r="J685" s="26" t="n"/>
      <c r="K685" s="9">
        <f>IF(D685="","",IFERROR(VLOOKUP(D685,参数!$A$5:$C$24,2,0),""))</f>
        <v/>
      </c>
      <c r="L685" s="9">
        <f>IF(D685="","",IFERROR(VLOOKUP(D685,参数!$A$5:$C$24,3,0),""))</f>
        <v/>
      </c>
      <c r="M685" s="21" t="n"/>
      <c r="N685" s="21" t="n"/>
      <c r="O685" s="21" t="n"/>
    </row>
    <row r="686">
      <c r="A686" s="24" t="n"/>
      <c r="B686" s="21" t="n"/>
      <c r="C686" s="21" t="n"/>
      <c r="D686" s="21" t="n"/>
      <c r="E686" s="21" t="n"/>
      <c r="F686" s="28" t="n"/>
      <c r="G686" s="28" t="n"/>
      <c r="H686" s="26" t="n"/>
      <c r="I686" s="10">
        <f>IF(H686&lt;&gt;"",H686,IF(AND(F686&lt;&gt;"",G686&lt;&gt;""),ROUND((G686-F686)*1440,0),""))</f>
        <v/>
      </c>
      <c r="J686" s="26" t="n"/>
      <c r="K686" s="9">
        <f>IF(D686="","",IFERROR(VLOOKUP(D686,参数!$A$5:$C$24,2,0),""))</f>
        <v/>
      </c>
      <c r="L686" s="9">
        <f>IF(D686="","",IFERROR(VLOOKUP(D686,参数!$A$5:$C$24,3,0),""))</f>
        <v/>
      </c>
      <c r="M686" s="21" t="n"/>
      <c r="N686" s="21" t="n"/>
      <c r="O686" s="21" t="n"/>
    </row>
    <row r="687">
      <c r="A687" s="24" t="n"/>
      <c r="B687" s="21" t="n"/>
      <c r="C687" s="21" t="n"/>
      <c r="D687" s="21" t="n"/>
      <c r="E687" s="21" t="n"/>
      <c r="F687" s="28" t="n"/>
      <c r="G687" s="28" t="n"/>
      <c r="H687" s="26" t="n"/>
      <c r="I687" s="10">
        <f>IF(H687&lt;&gt;"",H687,IF(AND(F687&lt;&gt;"",G687&lt;&gt;""),ROUND((G687-F687)*1440,0),""))</f>
        <v/>
      </c>
      <c r="J687" s="26" t="n"/>
      <c r="K687" s="9">
        <f>IF(D687="","",IFERROR(VLOOKUP(D687,参数!$A$5:$C$24,2,0),""))</f>
        <v/>
      </c>
      <c r="L687" s="9">
        <f>IF(D687="","",IFERROR(VLOOKUP(D687,参数!$A$5:$C$24,3,0),""))</f>
        <v/>
      </c>
      <c r="M687" s="21" t="n"/>
      <c r="N687" s="21" t="n"/>
      <c r="O687" s="21" t="n"/>
    </row>
    <row r="688">
      <c r="A688" s="24" t="n"/>
      <c r="B688" s="21" t="n"/>
      <c r="C688" s="21" t="n"/>
      <c r="D688" s="21" t="n"/>
      <c r="E688" s="21" t="n"/>
      <c r="F688" s="28" t="n"/>
      <c r="G688" s="28" t="n"/>
      <c r="H688" s="26" t="n"/>
      <c r="I688" s="10">
        <f>IF(H688&lt;&gt;"",H688,IF(AND(F688&lt;&gt;"",G688&lt;&gt;""),ROUND((G688-F688)*1440,0),""))</f>
        <v/>
      </c>
      <c r="J688" s="26" t="n"/>
      <c r="K688" s="9">
        <f>IF(D688="","",IFERROR(VLOOKUP(D688,参数!$A$5:$C$24,2,0),""))</f>
        <v/>
      </c>
      <c r="L688" s="9">
        <f>IF(D688="","",IFERROR(VLOOKUP(D688,参数!$A$5:$C$24,3,0),""))</f>
        <v/>
      </c>
      <c r="M688" s="21" t="n"/>
      <c r="N688" s="21" t="n"/>
      <c r="O688" s="21" t="n"/>
    </row>
    <row r="689">
      <c r="A689" s="24" t="n"/>
      <c r="B689" s="21" t="n"/>
      <c r="C689" s="21" t="n"/>
      <c r="D689" s="21" t="n"/>
      <c r="E689" s="21" t="n"/>
      <c r="F689" s="28" t="n"/>
      <c r="G689" s="28" t="n"/>
      <c r="H689" s="26" t="n"/>
      <c r="I689" s="10">
        <f>IF(H689&lt;&gt;"",H689,IF(AND(F689&lt;&gt;"",G689&lt;&gt;""),ROUND((G689-F689)*1440,0),""))</f>
        <v/>
      </c>
      <c r="J689" s="26" t="n"/>
      <c r="K689" s="9">
        <f>IF(D689="","",IFERROR(VLOOKUP(D689,参数!$A$5:$C$24,2,0),""))</f>
        <v/>
      </c>
      <c r="L689" s="9">
        <f>IF(D689="","",IFERROR(VLOOKUP(D689,参数!$A$5:$C$24,3,0),""))</f>
        <v/>
      </c>
      <c r="M689" s="21" t="n"/>
      <c r="N689" s="21" t="n"/>
      <c r="O689" s="21" t="n"/>
    </row>
    <row r="690">
      <c r="A690" s="24" t="n"/>
      <c r="B690" s="21" t="n"/>
      <c r="C690" s="21" t="n"/>
      <c r="D690" s="21" t="n"/>
      <c r="E690" s="21" t="n"/>
      <c r="F690" s="28" t="n"/>
      <c r="G690" s="28" t="n"/>
      <c r="H690" s="26" t="n"/>
      <c r="I690" s="10">
        <f>IF(H690&lt;&gt;"",H690,IF(AND(F690&lt;&gt;"",G690&lt;&gt;""),ROUND((G690-F690)*1440,0),""))</f>
        <v/>
      </c>
      <c r="J690" s="26" t="n"/>
      <c r="K690" s="9">
        <f>IF(D690="","",IFERROR(VLOOKUP(D690,参数!$A$5:$C$24,2,0),""))</f>
        <v/>
      </c>
      <c r="L690" s="9">
        <f>IF(D690="","",IFERROR(VLOOKUP(D690,参数!$A$5:$C$24,3,0),""))</f>
        <v/>
      </c>
      <c r="M690" s="21" t="n"/>
      <c r="N690" s="21" t="n"/>
      <c r="O690" s="21" t="n"/>
    </row>
    <row r="691">
      <c r="A691" s="24" t="n"/>
      <c r="B691" s="21" t="n"/>
      <c r="C691" s="21" t="n"/>
      <c r="D691" s="21" t="n"/>
      <c r="E691" s="21" t="n"/>
      <c r="F691" s="28" t="n"/>
      <c r="G691" s="28" t="n"/>
      <c r="H691" s="26" t="n"/>
      <c r="I691" s="10">
        <f>IF(H691&lt;&gt;"",H691,IF(AND(F691&lt;&gt;"",G691&lt;&gt;""),ROUND((G691-F691)*1440,0),""))</f>
        <v/>
      </c>
      <c r="J691" s="26" t="n"/>
      <c r="K691" s="9">
        <f>IF(D691="","",IFERROR(VLOOKUP(D691,参数!$A$5:$C$24,2,0),""))</f>
        <v/>
      </c>
      <c r="L691" s="9">
        <f>IF(D691="","",IFERROR(VLOOKUP(D691,参数!$A$5:$C$24,3,0),""))</f>
        <v/>
      </c>
      <c r="M691" s="21" t="n"/>
      <c r="N691" s="21" t="n"/>
      <c r="O691" s="21" t="n"/>
    </row>
    <row r="692">
      <c r="A692" s="24" t="n"/>
      <c r="B692" s="21" t="n"/>
      <c r="C692" s="21" t="n"/>
      <c r="D692" s="21" t="n"/>
      <c r="E692" s="21" t="n"/>
      <c r="F692" s="28" t="n"/>
      <c r="G692" s="28" t="n"/>
      <c r="H692" s="26" t="n"/>
      <c r="I692" s="10">
        <f>IF(H692&lt;&gt;"",H692,IF(AND(F692&lt;&gt;"",G692&lt;&gt;""),ROUND((G692-F692)*1440,0),""))</f>
        <v/>
      </c>
      <c r="J692" s="26" t="n"/>
      <c r="K692" s="9">
        <f>IF(D692="","",IFERROR(VLOOKUP(D692,参数!$A$5:$C$24,2,0),""))</f>
        <v/>
      </c>
      <c r="L692" s="9">
        <f>IF(D692="","",IFERROR(VLOOKUP(D692,参数!$A$5:$C$24,3,0),""))</f>
        <v/>
      </c>
      <c r="M692" s="21" t="n"/>
      <c r="N692" s="21" t="n"/>
      <c r="O692" s="21" t="n"/>
    </row>
    <row r="693">
      <c r="A693" s="24" t="n"/>
      <c r="B693" s="21" t="n"/>
      <c r="C693" s="21" t="n"/>
      <c r="D693" s="21" t="n"/>
      <c r="E693" s="21" t="n"/>
      <c r="F693" s="28" t="n"/>
      <c r="G693" s="28" t="n"/>
      <c r="H693" s="26" t="n"/>
      <c r="I693" s="10">
        <f>IF(H693&lt;&gt;"",H693,IF(AND(F693&lt;&gt;"",G693&lt;&gt;""),ROUND((G693-F693)*1440,0),""))</f>
        <v/>
      </c>
      <c r="J693" s="26" t="n"/>
      <c r="K693" s="9">
        <f>IF(D693="","",IFERROR(VLOOKUP(D693,参数!$A$5:$C$24,2,0),""))</f>
        <v/>
      </c>
      <c r="L693" s="9">
        <f>IF(D693="","",IFERROR(VLOOKUP(D693,参数!$A$5:$C$24,3,0),""))</f>
        <v/>
      </c>
      <c r="M693" s="21" t="n"/>
      <c r="N693" s="21" t="n"/>
      <c r="O693" s="21" t="n"/>
    </row>
    <row r="694">
      <c r="A694" s="24" t="n"/>
      <c r="B694" s="21" t="n"/>
      <c r="C694" s="21" t="n"/>
      <c r="D694" s="21" t="n"/>
      <c r="E694" s="21" t="n"/>
      <c r="F694" s="28" t="n"/>
      <c r="G694" s="28" t="n"/>
      <c r="H694" s="26" t="n"/>
      <c r="I694" s="10">
        <f>IF(H694&lt;&gt;"",H694,IF(AND(F694&lt;&gt;"",G694&lt;&gt;""),ROUND((G694-F694)*1440,0),""))</f>
        <v/>
      </c>
      <c r="J694" s="26" t="n"/>
      <c r="K694" s="9">
        <f>IF(D694="","",IFERROR(VLOOKUP(D694,参数!$A$5:$C$24,2,0),""))</f>
        <v/>
      </c>
      <c r="L694" s="9">
        <f>IF(D694="","",IFERROR(VLOOKUP(D694,参数!$A$5:$C$24,3,0),""))</f>
        <v/>
      </c>
      <c r="M694" s="21" t="n"/>
      <c r="N694" s="21" t="n"/>
      <c r="O694" s="21" t="n"/>
    </row>
    <row r="695">
      <c r="A695" s="24" t="n"/>
      <c r="B695" s="21" t="n"/>
      <c r="C695" s="21" t="n"/>
      <c r="D695" s="21" t="n"/>
      <c r="E695" s="21" t="n"/>
      <c r="F695" s="28" t="n"/>
      <c r="G695" s="28" t="n"/>
      <c r="H695" s="26" t="n"/>
      <c r="I695" s="10">
        <f>IF(H695&lt;&gt;"",H695,IF(AND(F695&lt;&gt;"",G695&lt;&gt;""),ROUND((G695-F695)*1440,0),""))</f>
        <v/>
      </c>
      <c r="J695" s="26" t="n"/>
      <c r="K695" s="9">
        <f>IF(D695="","",IFERROR(VLOOKUP(D695,参数!$A$5:$C$24,2,0),""))</f>
        <v/>
      </c>
      <c r="L695" s="9">
        <f>IF(D695="","",IFERROR(VLOOKUP(D695,参数!$A$5:$C$24,3,0),""))</f>
        <v/>
      </c>
      <c r="M695" s="21" t="n"/>
      <c r="N695" s="21" t="n"/>
      <c r="O695" s="21" t="n"/>
    </row>
    <row r="696">
      <c r="A696" s="24" t="n"/>
      <c r="B696" s="21" t="n"/>
      <c r="C696" s="21" t="n"/>
      <c r="D696" s="21" t="n"/>
      <c r="E696" s="21" t="n"/>
      <c r="F696" s="28" t="n"/>
      <c r="G696" s="28" t="n"/>
      <c r="H696" s="26" t="n"/>
      <c r="I696" s="10">
        <f>IF(H696&lt;&gt;"",H696,IF(AND(F696&lt;&gt;"",G696&lt;&gt;""),ROUND((G696-F696)*1440,0),""))</f>
        <v/>
      </c>
      <c r="J696" s="26" t="n"/>
      <c r="K696" s="9">
        <f>IF(D696="","",IFERROR(VLOOKUP(D696,参数!$A$5:$C$24,2,0),""))</f>
        <v/>
      </c>
      <c r="L696" s="9">
        <f>IF(D696="","",IFERROR(VLOOKUP(D696,参数!$A$5:$C$24,3,0),""))</f>
        <v/>
      </c>
      <c r="M696" s="21" t="n"/>
      <c r="N696" s="21" t="n"/>
      <c r="O696" s="21" t="n"/>
    </row>
    <row r="697">
      <c r="A697" s="24" t="n"/>
      <c r="B697" s="21" t="n"/>
      <c r="C697" s="21" t="n"/>
      <c r="D697" s="21" t="n"/>
      <c r="E697" s="21" t="n"/>
      <c r="F697" s="28" t="n"/>
      <c r="G697" s="28" t="n"/>
      <c r="H697" s="26" t="n"/>
      <c r="I697" s="10">
        <f>IF(H697&lt;&gt;"",H697,IF(AND(F697&lt;&gt;"",G697&lt;&gt;""),ROUND((G697-F697)*1440,0),""))</f>
        <v/>
      </c>
      <c r="J697" s="26" t="n"/>
      <c r="K697" s="9">
        <f>IF(D697="","",IFERROR(VLOOKUP(D697,参数!$A$5:$C$24,2,0),""))</f>
        <v/>
      </c>
      <c r="L697" s="9">
        <f>IF(D697="","",IFERROR(VLOOKUP(D697,参数!$A$5:$C$24,3,0),""))</f>
        <v/>
      </c>
      <c r="M697" s="21" t="n"/>
      <c r="N697" s="21" t="n"/>
      <c r="O697" s="21" t="n"/>
    </row>
    <row r="698">
      <c r="A698" s="24" t="n"/>
      <c r="B698" s="21" t="n"/>
      <c r="C698" s="21" t="n"/>
      <c r="D698" s="21" t="n"/>
      <c r="E698" s="21" t="n"/>
      <c r="F698" s="28" t="n"/>
      <c r="G698" s="28" t="n"/>
      <c r="H698" s="26" t="n"/>
      <c r="I698" s="10">
        <f>IF(H698&lt;&gt;"",H698,IF(AND(F698&lt;&gt;"",G698&lt;&gt;""),ROUND((G698-F698)*1440,0),""))</f>
        <v/>
      </c>
      <c r="J698" s="26" t="n"/>
      <c r="K698" s="9">
        <f>IF(D698="","",IFERROR(VLOOKUP(D698,参数!$A$5:$C$24,2,0),""))</f>
        <v/>
      </c>
      <c r="L698" s="9">
        <f>IF(D698="","",IFERROR(VLOOKUP(D698,参数!$A$5:$C$24,3,0),""))</f>
        <v/>
      </c>
      <c r="M698" s="21" t="n"/>
      <c r="N698" s="21" t="n"/>
      <c r="O698" s="21" t="n"/>
    </row>
    <row r="699">
      <c r="A699" s="24" t="n"/>
      <c r="B699" s="21" t="n"/>
      <c r="C699" s="21" t="n"/>
      <c r="D699" s="21" t="n"/>
      <c r="E699" s="21" t="n"/>
      <c r="F699" s="28" t="n"/>
      <c r="G699" s="28" t="n"/>
      <c r="H699" s="26" t="n"/>
      <c r="I699" s="10">
        <f>IF(H699&lt;&gt;"",H699,IF(AND(F699&lt;&gt;"",G699&lt;&gt;""),ROUND((G699-F699)*1440,0),""))</f>
        <v/>
      </c>
      <c r="J699" s="26" t="n"/>
      <c r="K699" s="9">
        <f>IF(D699="","",IFERROR(VLOOKUP(D699,参数!$A$5:$C$24,2,0),""))</f>
        <v/>
      </c>
      <c r="L699" s="9">
        <f>IF(D699="","",IFERROR(VLOOKUP(D699,参数!$A$5:$C$24,3,0),""))</f>
        <v/>
      </c>
      <c r="M699" s="21" t="n"/>
      <c r="N699" s="21" t="n"/>
      <c r="O699" s="21" t="n"/>
    </row>
    <row r="700">
      <c r="A700" s="24" t="n"/>
      <c r="B700" s="21" t="n"/>
      <c r="C700" s="21" t="n"/>
      <c r="D700" s="21" t="n"/>
      <c r="E700" s="21" t="n"/>
      <c r="F700" s="28" t="n"/>
      <c r="G700" s="28" t="n"/>
      <c r="H700" s="26" t="n"/>
      <c r="I700" s="10">
        <f>IF(H700&lt;&gt;"",H700,IF(AND(F700&lt;&gt;"",G700&lt;&gt;""),ROUND((G700-F700)*1440,0),""))</f>
        <v/>
      </c>
      <c r="J700" s="26" t="n"/>
      <c r="K700" s="9">
        <f>IF(D700="","",IFERROR(VLOOKUP(D700,参数!$A$5:$C$24,2,0),""))</f>
        <v/>
      </c>
      <c r="L700" s="9">
        <f>IF(D700="","",IFERROR(VLOOKUP(D700,参数!$A$5:$C$24,3,0),""))</f>
        <v/>
      </c>
      <c r="M700" s="21" t="n"/>
      <c r="N700" s="21" t="n"/>
      <c r="O700" s="21" t="n"/>
    </row>
    <row r="701">
      <c r="A701" s="24" t="n"/>
      <c r="B701" s="21" t="n"/>
      <c r="C701" s="21" t="n"/>
      <c r="D701" s="21" t="n"/>
      <c r="E701" s="21" t="n"/>
      <c r="F701" s="28" t="n"/>
      <c r="G701" s="28" t="n"/>
      <c r="H701" s="26" t="n"/>
      <c r="I701" s="10">
        <f>IF(H701&lt;&gt;"",H701,IF(AND(F701&lt;&gt;"",G701&lt;&gt;""),ROUND((G701-F701)*1440,0),""))</f>
        <v/>
      </c>
      <c r="J701" s="26" t="n"/>
      <c r="K701" s="9">
        <f>IF(D701="","",IFERROR(VLOOKUP(D701,参数!$A$5:$C$24,2,0),""))</f>
        <v/>
      </c>
      <c r="L701" s="9">
        <f>IF(D701="","",IFERROR(VLOOKUP(D701,参数!$A$5:$C$24,3,0),""))</f>
        <v/>
      </c>
      <c r="M701" s="21" t="n"/>
      <c r="N701" s="21" t="n"/>
      <c r="O701" s="21" t="n"/>
    </row>
    <row r="702">
      <c r="A702" s="24" t="n"/>
      <c r="B702" s="21" t="n"/>
      <c r="C702" s="21" t="n"/>
      <c r="D702" s="21" t="n"/>
      <c r="E702" s="21" t="n"/>
      <c r="F702" s="28" t="n"/>
      <c r="G702" s="28" t="n"/>
      <c r="H702" s="26" t="n"/>
      <c r="I702" s="10">
        <f>IF(H702&lt;&gt;"",H702,IF(AND(F702&lt;&gt;"",G702&lt;&gt;""),ROUND((G702-F702)*1440,0),""))</f>
        <v/>
      </c>
      <c r="J702" s="26" t="n"/>
      <c r="K702" s="9">
        <f>IF(D702="","",IFERROR(VLOOKUP(D702,参数!$A$5:$C$24,2,0),""))</f>
        <v/>
      </c>
      <c r="L702" s="9">
        <f>IF(D702="","",IFERROR(VLOOKUP(D702,参数!$A$5:$C$24,3,0),""))</f>
        <v/>
      </c>
      <c r="M702" s="21" t="n"/>
      <c r="N702" s="21" t="n"/>
      <c r="O702" s="21" t="n"/>
    </row>
    <row r="703">
      <c r="A703" s="24" t="n"/>
      <c r="B703" s="21" t="n"/>
      <c r="C703" s="21" t="n"/>
      <c r="D703" s="21" t="n"/>
      <c r="E703" s="21" t="n"/>
      <c r="F703" s="28" t="n"/>
      <c r="G703" s="28" t="n"/>
      <c r="H703" s="26" t="n"/>
      <c r="I703" s="10">
        <f>IF(H703&lt;&gt;"",H703,IF(AND(F703&lt;&gt;"",G703&lt;&gt;""),ROUND((G703-F703)*1440,0),""))</f>
        <v/>
      </c>
      <c r="J703" s="26" t="n"/>
      <c r="K703" s="9">
        <f>IF(D703="","",IFERROR(VLOOKUP(D703,参数!$A$5:$C$24,2,0),""))</f>
        <v/>
      </c>
      <c r="L703" s="9">
        <f>IF(D703="","",IFERROR(VLOOKUP(D703,参数!$A$5:$C$24,3,0),""))</f>
        <v/>
      </c>
      <c r="M703" s="21" t="n"/>
      <c r="N703" s="21" t="n"/>
      <c r="O703" s="21" t="n"/>
    </row>
    <row r="704">
      <c r="A704" s="24" t="n"/>
      <c r="B704" s="21" t="n"/>
      <c r="C704" s="21" t="n"/>
      <c r="D704" s="21" t="n"/>
      <c r="E704" s="21" t="n"/>
      <c r="F704" s="28" t="n"/>
      <c r="G704" s="28" t="n"/>
      <c r="H704" s="26" t="n"/>
      <c r="I704" s="10">
        <f>IF(H704&lt;&gt;"",H704,IF(AND(F704&lt;&gt;"",G704&lt;&gt;""),ROUND((G704-F704)*1440,0),""))</f>
        <v/>
      </c>
      <c r="J704" s="26" t="n"/>
      <c r="K704" s="9">
        <f>IF(D704="","",IFERROR(VLOOKUP(D704,参数!$A$5:$C$24,2,0),""))</f>
        <v/>
      </c>
      <c r="L704" s="9">
        <f>IF(D704="","",IFERROR(VLOOKUP(D704,参数!$A$5:$C$24,3,0),""))</f>
        <v/>
      </c>
      <c r="M704" s="21" t="n"/>
      <c r="N704" s="21" t="n"/>
      <c r="O704" s="21" t="n"/>
    </row>
    <row r="705">
      <c r="A705" s="24" t="n"/>
      <c r="B705" s="21" t="n"/>
      <c r="C705" s="21" t="n"/>
      <c r="D705" s="21" t="n"/>
      <c r="E705" s="21" t="n"/>
      <c r="F705" s="28" t="n"/>
      <c r="G705" s="28" t="n"/>
      <c r="H705" s="26" t="n"/>
      <c r="I705" s="10">
        <f>IF(H705&lt;&gt;"",H705,IF(AND(F705&lt;&gt;"",G705&lt;&gt;""),ROUND((G705-F705)*1440,0),""))</f>
        <v/>
      </c>
      <c r="J705" s="26" t="n"/>
      <c r="K705" s="9">
        <f>IF(D705="","",IFERROR(VLOOKUP(D705,参数!$A$5:$C$24,2,0),""))</f>
        <v/>
      </c>
      <c r="L705" s="9">
        <f>IF(D705="","",IFERROR(VLOOKUP(D705,参数!$A$5:$C$24,3,0),""))</f>
        <v/>
      </c>
      <c r="M705" s="21" t="n"/>
      <c r="N705" s="21" t="n"/>
      <c r="O705" s="21" t="n"/>
    </row>
    <row r="706">
      <c r="A706" s="24" t="n"/>
      <c r="B706" s="21" t="n"/>
      <c r="C706" s="21" t="n"/>
      <c r="D706" s="21" t="n"/>
      <c r="E706" s="21" t="n"/>
      <c r="F706" s="28" t="n"/>
      <c r="G706" s="28" t="n"/>
      <c r="H706" s="26" t="n"/>
      <c r="I706" s="10">
        <f>IF(H706&lt;&gt;"",H706,IF(AND(F706&lt;&gt;"",G706&lt;&gt;""),ROUND((G706-F706)*1440,0),""))</f>
        <v/>
      </c>
      <c r="J706" s="26" t="n"/>
      <c r="K706" s="9">
        <f>IF(D706="","",IFERROR(VLOOKUP(D706,参数!$A$5:$C$24,2,0),""))</f>
        <v/>
      </c>
      <c r="L706" s="9">
        <f>IF(D706="","",IFERROR(VLOOKUP(D706,参数!$A$5:$C$24,3,0),""))</f>
        <v/>
      </c>
      <c r="M706" s="21" t="n"/>
      <c r="N706" s="21" t="n"/>
      <c r="O706" s="21" t="n"/>
    </row>
    <row r="707">
      <c r="A707" s="24" t="n"/>
      <c r="B707" s="21" t="n"/>
      <c r="C707" s="21" t="n"/>
      <c r="D707" s="21" t="n"/>
      <c r="E707" s="21" t="n"/>
      <c r="F707" s="28" t="n"/>
      <c r="G707" s="28" t="n"/>
      <c r="H707" s="26" t="n"/>
      <c r="I707" s="10">
        <f>IF(H707&lt;&gt;"",H707,IF(AND(F707&lt;&gt;"",G707&lt;&gt;""),ROUND((G707-F707)*1440,0),""))</f>
        <v/>
      </c>
      <c r="J707" s="26" t="n"/>
      <c r="K707" s="9">
        <f>IF(D707="","",IFERROR(VLOOKUP(D707,参数!$A$5:$C$24,2,0),""))</f>
        <v/>
      </c>
      <c r="L707" s="9">
        <f>IF(D707="","",IFERROR(VLOOKUP(D707,参数!$A$5:$C$24,3,0),""))</f>
        <v/>
      </c>
      <c r="M707" s="21" t="n"/>
      <c r="N707" s="21" t="n"/>
      <c r="O707" s="21" t="n"/>
    </row>
    <row r="708">
      <c r="A708" s="24" t="n"/>
      <c r="B708" s="21" t="n"/>
      <c r="C708" s="21" t="n"/>
      <c r="D708" s="21" t="n"/>
      <c r="E708" s="21" t="n"/>
      <c r="F708" s="28" t="n"/>
      <c r="G708" s="28" t="n"/>
      <c r="H708" s="26" t="n"/>
      <c r="I708" s="10">
        <f>IF(H708&lt;&gt;"",H708,IF(AND(F708&lt;&gt;"",G708&lt;&gt;""),ROUND((G708-F708)*1440,0),""))</f>
        <v/>
      </c>
      <c r="J708" s="26" t="n"/>
      <c r="K708" s="9">
        <f>IF(D708="","",IFERROR(VLOOKUP(D708,参数!$A$5:$C$24,2,0),""))</f>
        <v/>
      </c>
      <c r="L708" s="9">
        <f>IF(D708="","",IFERROR(VLOOKUP(D708,参数!$A$5:$C$24,3,0),""))</f>
        <v/>
      </c>
      <c r="M708" s="21" t="n"/>
      <c r="N708" s="21" t="n"/>
      <c r="O708" s="21" t="n"/>
    </row>
    <row r="709">
      <c r="A709" s="24" t="n"/>
      <c r="B709" s="21" t="n"/>
      <c r="C709" s="21" t="n"/>
      <c r="D709" s="21" t="n"/>
      <c r="E709" s="21" t="n"/>
      <c r="F709" s="28" t="n"/>
      <c r="G709" s="28" t="n"/>
      <c r="H709" s="26" t="n"/>
      <c r="I709" s="10">
        <f>IF(H709&lt;&gt;"",H709,IF(AND(F709&lt;&gt;"",G709&lt;&gt;""),ROUND((G709-F709)*1440,0),""))</f>
        <v/>
      </c>
      <c r="J709" s="26" t="n"/>
      <c r="K709" s="9">
        <f>IF(D709="","",IFERROR(VLOOKUP(D709,参数!$A$5:$C$24,2,0),""))</f>
        <v/>
      </c>
      <c r="L709" s="9">
        <f>IF(D709="","",IFERROR(VLOOKUP(D709,参数!$A$5:$C$24,3,0),""))</f>
        <v/>
      </c>
      <c r="M709" s="21" t="n"/>
      <c r="N709" s="21" t="n"/>
      <c r="O709" s="21" t="n"/>
    </row>
    <row r="710">
      <c r="A710" s="24" t="n"/>
      <c r="B710" s="21" t="n"/>
      <c r="C710" s="21" t="n"/>
      <c r="D710" s="21" t="n"/>
      <c r="E710" s="21" t="n"/>
      <c r="F710" s="28" t="n"/>
      <c r="G710" s="28" t="n"/>
      <c r="H710" s="26" t="n"/>
      <c r="I710" s="10">
        <f>IF(H710&lt;&gt;"",H710,IF(AND(F710&lt;&gt;"",G710&lt;&gt;""),ROUND((G710-F710)*1440,0),""))</f>
        <v/>
      </c>
      <c r="J710" s="26" t="n"/>
      <c r="K710" s="9">
        <f>IF(D710="","",IFERROR(VLOOKUP(D710,参数!$A$5:$C$24,2,0),""))</f>
        <v/>
      </c>
      <c r="L710" s="9">
        <f>IF(D710="","",IFERROR(VLOOKUP(D710,参数!$A$5:$C$24,3,0),""))</f>
        <v/>
      </c>
      <c r="M710" s="21" t="n"/>
      <c r="N710" s="21" t="n"/>
      <c r="O710" s="21" t="n"/>
    </row>
    <row r="711">
      <c r="A711" s="24" t="n"/>
      <c r="B711" s="21" t="n"/>
      <c r="C711" s="21" t="n"/>
      <c r="D711" s="21" t="n"/>
      <c r="E711" s="21" t="n"/>
      <c r="F711" s="28" t="n"/>
      <c r="G711" s="28" t="n"/>
      <c r="H711" s="26" t="n"/>
      <c r="I711" s="10">
        <f>IF(H711&lt;&gt;"",H711,IF(AND(F711&lt;&gt;"",G711&lt;&gt;""),ROUND((G711-F711)*1440,0),""))</f>
        <v/>
      </c>
      <c r="J711" s="26" t="n"/>
      <c r="K711" s="9">
        <f>IF(D711="","",IFERROR(VLOOKUP(D711,参数!$A$5:$C$24,2,0),""))</f>
        <v/>
      </c>
      <c r="L711" s="9">
        <f>IF(D711="","",IFERROR(VLOOKUP(D711,参数!$A$5:$C$24,3,0),""))</f>
        <v/>
      </c>
      <c r="M711" s="21" t="n"/>
      <c r="N711" s="21" t="n"/>
      <c r="O711" s="21" t="n"/>
    </row>
    <row r="712">
      <c r="A712" s="24" t="n"/>
      <c r="B712" s="21" t="n"/>
      <c r="C712" s="21" t="n"/>
      <c r="D712" s="21" t="n"/>
      <c r="E712" s="21" t="n"/>
      <c r="F712" s="28" t="n"/>
      <c r="G712" s="28" t="n"/>
      <c r="H712" s="26" t="n"/>
      <c r="I712" s="10">
        <f>IF(H712&lt;&gt;"",H712,IF(AND(F712&lt;&gt;"",G712&lt;&gt;""),ROUND((G712-F712)*1440,0),""))</f>
        <v/>
      </c>
      <c r="J712" s="26" t="n"/>
      <c r="K712" s="9">
        <f>IF(D712="","",IFERROR(VLOOKUP(D712,参数!$A$5:$C$24,2,0),""))</f>
        <v/>
      </c>
      <c r="L712" s="9">
        <f>IF(D712="","",IFERROR(VLOOKUP(D712,参数!$A$5:$C$24,3,0),""))</f>
        <v/>
      </c>
      <c r="M712" s="21" t="n"/>
      <c r="N712" s="21" t="n"/>
      <c r="O712" s="21" t="n"/>
    </row>
    <row r="713">
      <c r="A713" s="24" t="n"/>
      <c r="B713" s="21" t="n"/>
      <c r="C713" s="21" t="n"/>
      <c r="D713" s="21" t="n"/>
      <c r="E713" s="21" t="n"/>
      <c r="F713" s="28" t="n"/>
      <c r="G713" s="28" t="n"/>
      <c r="H713" s="26" t="n"/>
      <c r="I713" s="10">
        <f>IF(H713&lt;&gt;"",H713,IF(AND(F713&lt;&gt;"",G713&lt;&gt;""),ROUND((G713-F713)*1440,0),""))</f>
        <v/>
      </c>
      <c r="J713" s="26" t="n"/>
      <c r="K713" s="9">
        <f>IF(D713="","",IFERROR(VLOOKUP(D713,参数!$A$5:$C$24,2,0),""))</f>
        <v/>
      </c>
      <c r="L713" s="9">
        <f>IF(D713="","",IFERROR(VLOOKUP(D713,参数!$A$5:$C$24,3,0),""))</f>
        <v/>
      </c>
      <c r="M713" s="21" t="n"/>
      <c r="N713" s="21" t="n"/>
      <c r="O713" s="21" t="n"/>
    </row>
    <row r="714">
      <c r="A714" s="24" t="n"/>
      <c r="B714" s="21" t="n"/>
      <c r="C714" s="21" t="n"/>
      <c r="D714" s="21" t="n"/>
      <c r="E714" s="21" t="n"/>
      <c r="F714" s="28" t="n"/>
      <c r="G714" s="28" t="n"/>
      <c r="H714" s="26" t="n"/>
      <c r="I714" s="10">
        <f>IF(H714&lt;&gt;"",H714,IF(AND(F714&lt;&gt;"",G714&lt;&gt;""),ROUND((G714-F714)*1440,0),""))</f>
        <v/>
      </c>
      <c r="J714" s="26" t="n"/>
      <c r="K714" s="9">
        <f>IF(D714="","",IFERROR(VLOOKUP(D714,参数!$A$5:$C$24,2,0),""))</f>
        <v/>
      </c>
      <c r="L714" s="9">
        <f>IF(D714="","",IFERROR(VLOOKUP(D714,参数!$A$5:$C$24,3,0),""))</f>
        <v/>
      </c>
      <c r="M714" s="21" t="n"/>
      <c r="N714" s="21" t="n"/>
      <c r="O714" s="21" t="n"/>
    </row>
    <row r="715">
      <c r="A715" s="24" t="n"/>
      <c r="B715" s="21" t="n"/>
      <c r="C715" s="21" t="n"/>
      <c r="D715" s="21" t="n"/>
      <c r="E715" s="21" t="n"/>
      <c r="F715" s="28" t="n"/>
      <c r="G715" s="28" t="n"/>
      <c r="H715" s="26" t="n"/>
      <c r="I715" s="10">
        <f>IF(H715&lt;&gt;"",H715,IF(AND(F715&lt;&gt;"",G715&lt;&gt;""),ROUND((G715-F715)*1440,0),""))</f>
        <v/>
      </c>
      <c r="J715" s="26" t="n"/>
      <c r="K715" s="9">
        <f>IF(D715="","",IFERROR(VLOOKUP(D715,参数!$A$5:$C$24,2,0),""))</f>
        <v/>
      </c>
      <c r="L715" s="9">
        <f>IF(D715="","",IFERROR(VLOOKUP(D715,参数!$A$5:$C$24,3,0),""))</f>
        <v/>
      </c>
      <c r="M715" s="21" t="n"/>
      <c r="N715" s="21" t="n"/>
      <c r="O715" s="21" t="n"/>
    </row>
    <row r="716">
      <c r="A716" s="24" t="n"/>
      <c r="B716" s="21" t="n"/>
      <c r="C716" s="21" t="n"/>
      <c r="D716" s="21" t="n"/>
      <c r="E716" s="21" t="n"/>
      <c r="F716" s="28" t="n"/>
      <c r="G716" s="28" t="n"/>
      <c r="H716" s="26" t="n"/>
      <c r="I716" s="10">
        <f>IF(H716&lt;&gt;"",H716,IF(AND(F716&lt;&gt;"",G716&lt;&gt;""),ROUND((G716-F716)*1440,0),""))</f>
        <v/>
      </c>
      <c r="J716" s="26" t="n"/>
      <c r="K716" s="9">
        <f>IF(D716="","",IFERROR(VLOOKUP(D716,参数!$A$5:$C$24,2,0),""))</f>
        <v/>
      </c>
      <c r="L716" s="9">
        <f>IF(D716="","",IFERROR(VLOOKUP(D716,参数!$A$5:$C$24,3,0),""))</f>
        <v/>
      </c>
      <c r="M716" s="21" t="n"/>
      <c r="N716" s="21" t="n"/>
      <c r="O716" s="21" t="n"/>
    </row>
    <row r="717">
      <c r="A717" s="24" t="n"/>
      <c r="B717" s="21" t="n"/>
      <c r="C717" s="21" t="n"/>
      <c r="D717" s="21" t="n"/>
      <c r="E717" s="21" t="n"/>
      <c r="F717" s="28" t="n"/>
      <c r="G717" s="28" t="n"/>
      <c r="H717" s="26" t="n"/>
      <c r="I717" s="10">
        <f>IF(H717&lt;&gt;"",H717,IF(AND(F717&lt;&gt;"",G717&lt;&gt;""),ROUND((G717-F717)*1440,0),""))</f>
        <v/>
      </c>
      <c r="J717" s="26" t="n"/>
      <c r="K717" s="9">
        <f>IF(D717="","",IFERROR(VLOOKUP(D717,参数!$A$5:$C$24,2,0),""))</f>
        <v/>
      </c>
      <c r="L717" s="9">
        <f>IF(D717="","",IFERROR(VLOOKUP(D717,参数!$A$5:$C$24,3,0),""))</f>
        <v/>
      </c>
      <c r="M717" s="21" t="n"/>
      <c r="N717" s="21" t="n"/>
      <c r="O717" s="21" t="n"/>
    </row>
    <row r="718">
      <c r="A718" s="24" t="n"/>
      <c r="B718" s="21" t="n"/>
      <c r="C718" s="21" t="n"/>
      <c r="D718" s="21" t="n"/>
      <c r="E718" s="21" t="n"/>
      <c r="F718" s="28" t="n"/>
      <c r="G718" s="28" t="n"/>
      <c r="H718" s="26" t="n"/>
      <c r="I718" s="10">
        <f>IF(H718&lt;&gt;"",H718,IF(AND(F718&lt;&gt;"",G718&lt;&gt;""),ROUND((G718-F718)*1440,0),""))</f>
        <v/>
      </c>
      <c r="J718" s="26" t="n"/>
      <c r="K718" s="9">
        <f>IF(D718="","",IFERROR(VLOOKUP(D718,参数!$A$5:$C$24,2,0),""))</f>
        <v/>
      </c>
      <c r="L718" s="9">
        <f>IF(D718="","",IFERROR(VLOOKUP(D718,参数!$A$5:$C$24,3,0),""))</f>
        <v/>
      </c>
      <c r="M718" s="21" t="n"/>
      <c r="N718" s="21" t="n"/>
      <c r="O718" s="21" t="n"/>
    </row>
    <row r="719">
      <c r="A719" s="24" t="n"/>
      <c r="B719" s="21" t="n"/>
      <c r="C719" s="21" t="n"/>
      <c r="D719" s="21" t="n"/>
      <c r="E719" s="21" t="n"/>
      <c r="F719" s="28" t="n"/>
      <c r="G719" s="28" t="n"/>
      <c r="H719" s="26" t="n"/>
      <c r="I719" s="10">
        <f>IF(H719&lt;&gt;"",H719,IF(AND(F719&lt;&gt;"",G719&lt;&gt;""),ROUND((G719-F719)*1440,0),""))</f>
        <v/>
      </c>
      <c r="J719" s="26" t="n"/>
      <c r="K719" s="9">
        <f>IF(D719="","",IFERROR(VLOOKUP(D719,参数!$A$5:$C$24,2,0),""))</f>
        <v/>
      </c>
      <c r="L719" s="9">
        <f>IF(D719="","",IFERROR(VLOOKUP(D719,参数!$A$5:$C$24,3,0),""))</f>
        <v/>
      </c>
      <c r="M719" s="21" t="n"/>
      <c r="N719" s="21" t="n"/>
      <c r="O719" s="21" t="n"/>
    </row>
    <row r="720">
      <c r="A720" s="24" t="n"/>
      <c r="B720" s="21" t="n"/>
      <c r="C720" s="21" t="n"/>
      <c r="D720" s="21" t="n"/>
      <c r="E720" s="21" t="n"/>
      <c r="F720" s="28" t="n"/>
      <c r="G720" s="28" t="n"/>
      <c r="H720" s="26" t="n"/>
      <c r="I720" s="10">
        <f>IF(H720&lt;&gt;"",H720,IF(AND(F720&lt;&gt;"",G720&lt;&gt;""),ROUND((G720-F720)*1440,0),""))</f>
        <v/>
      </c>
      <c r="J720" s="26" t="n"/>
      <c r="K720" s="9">
        <f>IF(D720="","",IFERROR(VLOOKUP(D720,参数!$A$5:$C$24,2,0),""))</f>
        <v/>
      </c>
      <c r="L720" s="9">
        <f>IF(D720="","",IFERROR(VLOOKUP(D720,参数!$A$5:$C$24,3,0),""))</f>
        <v/>
      </c>
      <c r="M720" s="21" t="n"/>
      <c r="N720" s="21" t="n"/>
      <c r="O720" s="21" t="n"/>
    </row>
    <row r="721">
      <c r="A721" s="24" t="n"/>
      <c r="B721" s="21" t="n"/>
      <c r="C721" s="21" t="n"/>
      <c r="D721" s="21" t="n"/>
      <c r="E721" s="21" t="n"/>
      <c r="F721" s="28" t="n"/>
      <c r="G721" s="28" t="n"/>
      <c r="H721" s="26" t="n"/>
      <c r="I721" s="10">
        <f>IF(H721&lt;&gt;"",H721,IF(AND(F721&lt;&gt;"",G721&lt;&gt;""),ROUND((G721-F721)*1440,0),""))</f>
        <v/>
      </c>
      <c r="J721" s="26" t="n"/>
      <c r="K721" s="9">
        <f>IF(D721="","",IFERROR(VLOOKUP(D721,参数!$A$5:$C$24,2,0),""))</f>
        <v/>
      </c>
      <c r="L721" s="9">
        <f>IF(D721="","",IFERROR(VLOOKUP(D721,参数!$A$5:$C$24,3,0),""))</f>
        <v/>
      </c>
      <c r="M721" s="21" t="n"/>
      <c r="N721" s="21" t="n"/>
      <c r="O721" s="21" t="n"/>
    </row>
    <row r="722">
      <c r="A722" s="24" t="n"/>
      <c r="B722" s="21" t="n"/>
      <c r="C722" s="21" t="n"/>
      <c r="D722" s="21" t="n"/>
      <c r="E722" s="21" t="n"/>
      <c r="F722" s="28" t="n"/>
      <c r="G722" s="28" t="n"/>
      <c r="H722" s="26" t="n"/>
      <c r="I722" s="10">
        <f>IF(H722&lt;&gt;"",H722,IF(AND(F722&lt;&gt;"",G722&lt;&gt;""),ROUND((G722-F722)*1440,0),""))</f>
        <v/>
      </c>
      <c r="J722" s="26" t="n"/>
      <c r="K722" s="9">
        <f>IF(D722="","",IFERROR(VLOOKUP(D722,参数!$A$5:$C$24,2,0),""))</f>
        <v/>
      </c>
      <c r="L722" s="9">
        <f>IF(D722="","",IFERROR(VLOOKUP(D722,参数!$A$5:$C$24,3,0),""))</f>
        <v/>
      </c>
      <c r="M722" s="21" t="n"/>
      <c r="N722" s="21" t="n"/>
      <c r="O722" s="21" t="n"/>
    </row>
    <row r="723">
      <c r="A723" s="24" t="n"/>
      <c r="B723" s="21" t="n"/>
      <c r="C723" s="21" t="n"/>
      <c r="D723" s="21" t="n"/>
      <c r="E723" s="21" t="n"/>
      <c r="F723" s="28" t="n"/>
      <c r="G723" s="28" t="n"/>
      <c r="H723" s="26" t="n"/>
      <c r="I723" s="10">
        <f>IF(H723&lt;&gt;"",H723,IF(AND(F723&lt;&gt;"",G723&lt;&gt;""),ROUND((G723-F723)*1440,0),""))</f>
        <v/>
      </c>
      <c r="J723" s="26" t="n"/>
      <c r="K723" s="9">
        <f>IF(D723="","",IFERROR(VLOOKUP(D723,参数!$A$5:$C$24,2,0),""))</f>
        <v/>
      </c>
      <c r="L723" s="9">
        <f>IF(D723="","",IFERROR(VLOOKUP(D723,参数!$A$5:$C$24,3,0),""))</f>
        <v/>
      </c>
      <c r="M723" s="21" t="n"/>
      <c r="N723" s="21" t="n"/>
      <c r="O723" s="21" t="n"/>
    </row>
    <row r="724">
      <c r="A724" s="24" t="n"/>
      <c r="B724" s="21" t="n"/>
      <c r="C724" s="21" t="n"/>
      <c r="D724" s="21" t="n"/>
      <c r="E724" s="21" t="n"/>
      <c r="F724" s="28" t="n"/>
      <c r="G724" s="28" t="n"/>
      <c r="H724" s="26" t="n"/>
      <c r="I724" s="10">
        <f>IF(H724&lt;&gt;"",H724,IF(AND(F724&lt;&gt;"",G724&lt;&gt;""),ROUND((G724-F724)*1440,0),""))</f>
        <v/>
      </c>
      <c r="J724" s="26" t="n"/>
      <c r="K724" s="9">
        <f>IF(D724="","",IFERROR(VLOOKUP(D724,参数!$A$5:$C$24,2,0),""))</f>
        <v/>
      </c>
      <c r="L724" s="9">
        <f>IF(D724="","",IFERROR(VLOOKUP(D724,参数!$A$5:$C$24,3,0),""))</f>
        <v/>
      </c>
      <c r="M724" s="21" t="n"/>
      <c r="N724" s="21" t="n"/>
      <c r="O724" s="21" t="n"/>
    </row>
    <row r="725">
      <c r="A725" s="24" t="n"/>
      <c r="B725" s="21" t="n"/>
      <c r="C725" s="21" t="n"/>
      <c r="D725" s="21" t="n"/>
      <c r="E725" s="21" t="n"/>
      <c r="F725" s="28" t="n"/>
      <c r="G725" s="28" t="n"/>
      <c r="H725" s="26" t="n"/>
      <c r="I725" s="10">
        <f>IF(H725&lt;&gt;"",H725,IF(AND(F725&lt;&gt;"",G725&lt;&gt;""),ROUND((G725-F725)*1440,0),""))</f>
        <v/>
      </c>
      <c r="J725" s="26" t="n"/>
      <c r="K725" s="9">
        <f>IF(D725="","",IFERROR(VLOOKUP(D725,参数!$A$5:$C$24,2,0),""))</f>
        <v/>
      </c>
      <c r="L725" s="9">
        <f>IF(D725="","",IFERROR(VLOOKUP(D725,参数!$A$5:$C$24,3,0),""))</f>
        <v/>
      </c>
      <c r="M725" s="21" t="n"/>
      <c r="N725" s="21" t="n"/>
      <c r="O725" s="21" t="n"/>
    </row>
    <row r="726">
      <c r="A726" s="24" t="n"/>
      <c r="B726" s="21" t="n"/>
      <c r="C726" s="21" t="n"/>
      <c r="D726" s="21" t="n"/>
      <c r="E726" s="21" t="n"/>
      <c r="F726" s="28" t="n"/>
      <c r="G726" s="28" t="n"/>
      <c r="H726" s="26" t="n"/>
      <c r="I726" s="10">
        <f>IF(H726&lt;&gt;"",H726,IF(AND(F726&lt;&gt;"",G726&lt;&gt;""),ROUND((G726-F726)*1440,0),""))</f>
        <v/>
      </c>
      <c r="J726" s="26" t="n"/>
      <c r="K726" s="9">
        <f>IF(D726="","",IFERROR(VLOOKUP(D726,参数!$A$5:$C$24,2,0),""))</f>
        <v/>
      </c>
      <c r="L726" s="9">
        <f>IF(D726="","",IFERROR(VLOOKUP(D726,参数!$A$5:$C$24,3,0),""))</f>
        <v/>
      </c>
      <c r="M726" s="21" t="n"/>
      <c r="N726" s="21" t="n"/>
      <c r="O726" s="21" t="n"/>
    </row>
    <row r="727">
      <c r="A727" s="24" t="n"/>
      <c r="B727" s="21" t="n"/>
      <c r="C727" s="21" t="n"/>
      <c r="D727" s="21" t="n"/>
      <c r="E727" s="21" t="n"/>
      <c r="F727" s="28" t="n"/>
      <c r="G727" s="28" t="n"/>
      <c r="H727" s="26" t="n"/>
      <c r="I727" s="10">
        <f>IF(H727&lt;&gt;"",H727,IF(AND(F727&lt;&gt;"",G727&lt;&gt;""),ROUND((G727-F727)*1440,0),""))</f>
        <v/>
      </c>
      <c r="J727" s="26" t="n"/>
      <c r="K727" s="9">
        <f>IF(D727="","",IFERROR(VLOOKUP(D727,参数!$A$5:$C$24,2,0),""))</f>
        <v/>
      </c>
      <c r="L727" s="9">
        <f>IF(D727="","",IFERROR(VLOOKUP(D727,参数!$A$5:$C$24,3,0),""))</f>
        <v/>
      </c>
      <c r="M727" s="21" t="n"/>
      <c r="N727" s="21" t="n"/>
      <c r="O727" s="21" t="n"/>
    </row>
    <row r="728">
      <c r="A728" s="24" t="n"/>
      <c r="B728" s="21" t="n"/>
      <c r="C728" s="21" t="n"/>
      <c r="D728" s="21" t="n"/>
      <c r="E728" s="21" t="n"/>
      <c r="F728" s="28" t="n"/>
      <c r="G728" s="28" t="n"/>
      <c r="H728" s="26" t="n"/>
      <c r="I728" s="10">
        <f>IF(H728&lt;&gt;"",H728,IF(AND(F728&lt;&gt;"",G728&lt;&gt;""),ROUND((G728-F728)*1440,0),""))</f>
        <v/>
      </c>
      <c r="J728" s="26" t="n"/>
      <c r="K728" s="9">
        <f>IF(D728="","",IFERROR(VLOOKUP(D728,参数!$A$5:$C$24,2,0),""))</f>
        <v/>
      </c>
      <c r="L728" s="9">
        <f>IF(D728="","",IFERROR(VLOOKUP(D728,参数!$A$5:$C$24,3,0),""))</f>
        <v/>
      </c>
      <c r="M728" s="21" t="n"/>
      <c r="N728" s="21" t="n"/>
      <c r="O728" s="21" t="n"/>
    </row>
    <row r="729">
      <c r="A729" s="24" t="n"/>
      <c r="B729" s="21" t="n"/>
      <c r="C729" s="21" t="n"/>
      <c r="D729" s="21" t="n"/>
      <c r="E729" s="21" t="n"/>
      <c r="F729" s="28" t="n"/>
      <c r="G729" s="28" t="n"/>
      <c r="H729" s="26" t="n"/>
      <c r="I729" s="10">
        <f>IF(H729&lt;&gt;"",H729,IF(AND(F729&lt;&gt;"",G729&lt;&gt;""),ROUND((G729-F729)*1440,0),""))</f>
        <v/>
      </c>
      <c r="J729" s="26" t="n"/>
      <c r="K729" s="9">
        <f>IF(D729="","",IFERROR(VLOOKUP(D729,参数!$A$5:$C$24,2,0),""))</f>
        <v/>
      </c>
      <c r="L729" s="9">
        <f>IF(D729="","",IFERROR(VLOOKUP(D729,参数!$A$5:$C$24,3,0),""))</f>
        <v/>
      </c>
      <c r="M729" s="21" t="n"/>
      <c r="N729" s="21" t="n"/>
      <c r="O729" s="21" t="n"/>
    </row>
    <row r="730">
      <c r="A730" s="24" t="n"/>
      <c r="B730" s="21" t="n"/>
      <c r="C730" s="21" t="n"/>
      <c r="D730" s="21" t="n"/>
      <c r="E730" s="21" t="n"/>
      <c r="F730" s="28" t="n"/>
      <c r="G730" s="28" t="n"/>
      <c r="H730" s="26" t="n"/>
      <c r="I730" s="10">
        <f>IF(H730&lt;&gt;"",H730,IF(AND(F730&lt;&gt;"",G730&lt;&gt;""),ROUND((G730-F730)*1440,0),""))</f>
        <v/>
      </c>
      <c r="J730" s="26" t="n"/>
      <c r="K730" s="9">
        <f>IF(D730="","",IFERROR(VLOOKUP(D730,参数!$A$5:$C$24,2,0),""))</f>
        <v/>
      </c>
      <c r="L730" s="9">
        <f>IF(D730="","",IFERROR(VLOOKUP(D730,参数!$A$5:$C$24,3,0),""))</f>
        <v/>
      </c>
      <c r="M730" s="21" t="n"/>
      <c r="N730" s="21" t="n"/>
      <c r="O730" s="21" t="n"/>
    </row>
    <row r="731">
      <c r="A731" s="24" t="n"/>
      <c r="B731" s="21" t="n"/>
      <c r="C731" s="21" t="n"/>
      <c r="D731" s="21" t="n"/>
      <c r="E731" s="21" t="n"/>
      <c r="F731" s="28" t="n"/>
      <c r="G731" s="28" t="n"/>
      <c r="H731" s="26" t="n"/>
      <c r="I731" s="10">
        <f>IF(H731&lt;&gt;"",H731,IF(AND(F731&lt;&gt;"",G731&lt;&gt;""),ROUND((G731-F731)*1440,0),""))</f>
        <v/>
      </c>
      <c r="J731" s="26" t="n"/>
      <c r="K731" s="9">
        <f>IF(D731="","",IFERROR(VLOOKUP(D731,参数!$A$5:$C$24,2,0),""))</f>
        <v/>
      </c>
      <c r="L731" s="9">
        <f>IF(D731="","",IFERROR(VLOOKUP(D731,参数!$A$5:$C$24,3,0),""))</f>
        <v/>
      </c>
      <c r="M731" s="21" t="n"/>
      <c r="N731" s="21" t="n"/>
      <c r="O731" s="21" t="n"/>
    </row>
    <row r="732">
      <c r="A732" s="24" t="n"/>
      <c r="B732" s="21" t="n"/>
      <c r="C732" s="21" t="n"/>
      <c r="D732" s="21" t="n"/>
      <c r="E732" s="21" t="n"/>
      <c r="F732" s="28" t="n"/>
      <c r="G732" s="28" t="n"/>
      <c r="H732" s="26" t="n"/>
      <c r="I732" s="10">
        <f>IF(H732&lt;&gt;"",H732,IF(AND(F732&lt;&gt;"",G732&lt;&gt;""),ROUND((G732-F732)*1440,0),""))</f>
        <v/>
      </c>
      <c r="J732" s="26" t="n"/>
      <c r="K732" s="9">
        <f>IF(D732="","",IFERROR(VLOOKUP(D732,参数!$A$5:$C$24,2,0),""))</f>
        <v/>
      </c>
      <c r="L732" s="9">
        <f>IF(D732="","",IFERROR(VLOOKUP(D732,参数!$A$5:$C$24,3,0),""))</f>
        <v/>
      </c>
      <c r="M732" s="21" t="n"/>
      <c r="N732" s="21" t="n"/>
      <c r="O732" s="21" t="n"/>
    </row>
    <row r="733">
      <c r="A733" s="24" t="n"/>
      <c r="B733" s="21" t="n"/>
      <c r="C733" s="21" t="n"/>
      <c r="D733" s="21" t="n"/>
      <c r="E733" s="21" t="n"/>
      <c r="F733" s="28" t="n"/>
      <c r="G733" s="28" t="n"/>
      <c r="H733" s="26" t="n"/>
      <c r="I733" s="10">
        <f>IF(H733&lt;&gt;"",H733,IF(AND(F733&lt;&gt;"",G733&lt;&gt;""),ROUND((G733-F733)*1440,0),""))</f>
        <v/>
      </c>
      <c r="J733" s="26" t="n"/>
      <c r="K733" s="9">
        <f>IF(D733="","",IFERROR(VLOOKUP(D733,参数!$A$5:$C$24,2,0),""))</f>
        <v/>
      </c>
      <c r="L733" s="9">
        <f>IF(D733="","",IFERROR(VLOOKUP(D733,参数!$A$5:$C$24,3,0),""))</f>
        <v/>
      </c>
      <c r="M733" s="21" t="n"/>
      <c r="N733" s="21" t="n"/>
      <c r="O733" s="21" t="n"/>
    </row>
    <row r="734">
      <c r="A734" s="24" t="n"/>
      <c r="B734" s="21" t="n"/>
      <c r="C734" s="21" t="n"/>
      <c r="D734" s="21" t="n"/>
      <c r="E734" s="21" t="n"/>
      <c r="F734" s="28" t="n"/>
      <c r="G734" s="28" t="n"/>
      <c r="H734" s="26" t="n"/>
      <c r="I734" s="10">
        <f>IF(H734&lt;&gt;"",H734,IF(AND(F734&lt;&gt;"",G734&lt;&gt;""),ROUND((G734-F734)*1440,0),""))</f>
        <v/>
      </c>
      <c r="J734" s="26" t="n"/>
      <c r="K734" s="9">
        <f>IF(D734="","",IFERROR(VLOOKUP(D734,参数!$A$5:$C$24,2,0),""))</f>
        <v/>
      </c>
      <c r="L734" s="9">
        <f>IF(D734="","",IFERROR(VLOOKUP(D734,参数!$A$5:$C$24,3,0),""))</f>
        <v/>
      </c>
      <c r="M734" s="21" t="n"/>
      <c r="N734" s="21" t="n"/>
      <c r="O734" s="21" t="n"/>
    </row>
    <row r="735">
      <c r="A735" s="24" t="n"/>
      <c r="B735" s="21" t="n"/>
      <c r="C735" s="21" t="n"/>
      <c r="D735" s="21" t="n"/>
      <c r="E735" s="21" t="n"/>
      <c r="F735" s="28" t="n"/>
      <c r="G735" s="28" t="n"/>
      <c r="H735" s="26" t="n"/>
      <c r="I735" s="10">
        <f>IF(H735&lt;&gt;"",H735,IF(AND(F735&lt;&gt;"",G735&lt;&gt;""),ROUND((G735-F735)*1440,0),""))</f>
        <v/>
      </c>
      <c r="J735" s="26" t="n"/>
      <c r="K735" s="9">
        <f>IF(D735="","",IFERROR(VLOOKUP(D735,参数!$A$5:$C$24,2,0),""))</f>
        <v/>
      </c>
      <c r="L735" s="9">
        <f>IF(D735="","",IFERROR(VLOOKUP(D735,参数!$A$5:$C$24,3,0),""))</f>
        <v/>
      </c>
      <c r="M735" s="21" t="n"/>
      <c r="N735" s="21" t="n"/>
      <c r="O735" s="21" t="n"/>
    </row>
    <row r="736">
      <c r="A736" s="24" t="n"/>
      <c r="B736" s="21" t="n"/>
      <c r="C736" s="21" t="n"/>
      <c r="D736" s="21" t="n"/>
      <c r="E736" s="21" t="n"/>
      <c r="F736" s="28" t="n"/>
      <c r="G736" s="28" t="n"/>
      <c r="H736" s="26" t="n"/>
      <c r="I736" s="10">
        <f>IF(H736&lt;&gt;"",H736,IF(AND(F736&lt;&gt;"",G736&lt;&gt;""),ROUND((G736-F736)*1440,0),""))</f>
        <v/>
      </c>
      <c r="J736" s="26" t="n"/>
      <c r="K736" s="9">
        <f>IF(D736="","",IFERROR(VLOOKUP(D736,参数!$A$5:$C$24,2,0),""))</f>
        <v/>
      </c>
      <c r="L736" s="9">
        <f>IF(D736="","",IFERROR(VLOOKUP(D736,参数!$A$5:$C$24,3,0),""))</f>
        <v/>
      </c>
      <c r="M736" s="21" t="n"/>
      <c r="N736" s="21" t="n"/>
      <c r="O736" s="21" t="n"/>
    </row>
    <row r="737">
      <c r="A737" s="24" t="n"/>
      <c r="B737" s="21" t="n"/>
      <c r="C737" s="21" t="n"/>
      <c r="D737" s="21" t="n"/>
      <c r="E737" s="21" t="n"/>
      <c r="F737" s="28" t="n"/>
      <c r="G737" s="28" t="n"/>
      <c r="H737" s="26" t="n"/>
      <c r="I737" s="10">
        <f>IF(H737&lt;&gt;"",H737,IF(AND(F737&lt;&gt;"",G737&lt;&gt;""),ROUND((G737-F737)*1440,0),""))</f>
        <v/>
      </c>
      <c r="J737" s="26" t="n"/>
      <c r="K737" s="9">
        <f>IF(D737="","",IFERROR(VLOOKUP(D737,参数!$A$5:$C$24,2,0),""))</f>
        <v/>
      </c>
      <c r="L737" s="9">
        <f>IF(D737="","",IFERROR(VLOOKUP(D737,参数!$A$5:$C$24,3,0),""))</f>
        <v/>
      </c>
      <c r="M737" s="21" t="n"/>
      <c r="N737" s="21" t="n"/>
      <c r="O737" s="21" t="n"/>
    </row>
    <row r="738">
      <c r="A738" s="24" t="n"/>
      <c r="B738" s="21" t="n"/>
      <c r="C738" s="21" t="n"/>
      <c r="D738" s="21" t="n"/>
      <c r="E738" s="21" t="n"/>
      <c r="F738" s="28" t="n"/>
      <c r="G738" s="28" t="n"/>
      <c r="H738" s="26" t="n"/>
      <c r="I738" s="10">
        <f>IF(H738&lt;&gt;"",H738,IF(AND(F738&lt;&gt;"",G738&lt;&gt;""),ROUND((G738-F738)*1440,0),""))</f>
        <v/>
      </c>
      <c r="J738" s="26" t="n"/>
      <c r="K738" s="9">
        <f>IF(D738="","",IFERROR(VLOOKUP(D738,参数!$A$5:$C$24,2,0),""))</f>
        <v/>
      </c>
      <c r="L738" s="9">
        <f>IF(D738="","",IFERROR(VLOOKUP(D738,参数!$A$5:$C$24,3,0),""))</f>
        <v/>
      </c>
      <c r="M738" s="21" t="n"/>
      <c r="N738" s="21" t="n"/>
      <c r="O738" s="21" t="n"/>
    </row>
    <row r="739">
      <c r="A739" s="24" t="n"/>
      <c r="B739" s="21" t="n"/>
      <c r="C739" s="21" t="n"/>
      <c r="D739" s="21" t="n"/>
      <c r="E739" s="21" t="n"/>
      <c r="F739" s="28" t="n"/>
      <c r="G739" s="28" t="n"/>
      <c r="H739" s="26" t="n"/>
      <c r="I739" s="10">
        <f>IF(H739&lt;&gt;"",H739,IF(AND(F739&lt;&gt;"",G739&lt;&gt;""),ROUND((G739-F739)*1440,0),""))</f>
        <v/>
      </c>
      <c r="J739" s="26" t="n"/>
      <c r="K739" s="9">
        <f>IF(D739="","",IFERROR(VLOOKUP(D739,参数!$A$5:$C$24,2,0),""))</f>
        <v/>
      </c>
      <c r="L739" s="9">
        <f>IF(D739="","",IFERROR(VLOOKUP(D739,参数!$A$5:$C$24,3,0),""))</f>
        <v/>
      </c>
      <c r="M739" s="21" t="n"/>
      <c r="N739" s="21" t="n"/>
      <c r="O739" s="21" t="n"/>
    </row>
    <row r="740">
      <c r="A740" s="24" t="n"/>
      <c r="B740" s="21" t="n"/>
      <c r="C740" s="21" t="n"/>
      <c r="D740" s="21" t="n"/>
      <c r="E740" s="21" t="n"/>
      <c r="F740" s="28" t="n"/>
      <c r="G740" s="28" t="n"/>
      <c r="H740" s="26" t="n"/>
      <c r="I740" s="10">
        <f>IF(H740&lt;&gt;"",H740,IF(AND(F740&lt;&gt;"",G740&lt;&gt;""),ROUND((G740-F740)*1440,0),""))</f>
        <v/>
      </c>
      <c r="J740" s="26" t="n"/>
      <c r="K740" s="9">
        <f>IF(D740="","",IFERROR(VLOOKUP(D740,参数!$A$5:$C$24,2,0),""))</f>
        <v/>
      </c>
      <c r="L740" s="9">
        <f>IF(D740="","",IFERROR(VLOOKUP(D740,参数!$A$5:$C$24,3,0),""))</f>
        <v/>
      </c>
      <c r="M740" s="21" t="n"/>
      <c r="N740" s="21" t="n"/>
      <c r="O740" s="21" t="n"/>
    </row>
    <row r="741">
      <c r="A741" s="24" t="n"/>
      <c r="B741" s="21" t="n"/>
      <c r="C741" s="21" t="n"/>
      <c r="D741" s="21" t="n"/>
      <c r="E741" s="21" t="n"/>
      <c r="F741" s="28" t="n"/>
      <c r="G741" s="28" t="n"/>
      <c r="H741" s="26" t="n"/>
      <c r="I741" s="10">
        <f>IF(H741&lt;&gt;"",H741,IF(AND(F741&lt;&gt;"",G741&lt;&gt;""),ROUND((G741-F741)*1440,0),""))</f>
        <v/>
      </c>
      <c r="J741" s="26" t="n"/>
      <c r="K741" s="9">
        <f>IF(D741="","",IFERROR(VLOOKUP(D741,参数!$A$5:$C$24,2,0),""))</f>
        <v/>
      </c>
      <c r="L741" s="9">
        <f>IF(D741="","",IFERROR(VLOOKUP(D741,参数!$A$5:$C$24,3,0),""))</f>
        <v/>
      </c>
      <c r="M741" s="21" t="n"/>
      <c r="N741" s="21" t="n"/>
      <c r="O741" s="21" t="n"/>
    </row>
    <row r="742">
      <c r="A742" s="24" t="n"/>
      <c r="B742" s="21" t="n"/>
      <c r="C742" s="21" t="n"/>
      <c r="D742" s="21" t="n"/>
      <c r="E742" s="21" t="n"/>
      <c r="F742" s="28" t="n"/>
      <c r="G742" s="28" t="n"/>
      <c r="H742" s="26" t="n"/>
      <c r="I742" s="10">
        <f>IF(H742&lt;&gt;"",H742,IF(AND(F742&lt;&gt;"",G742&lt;&gt;""),ROUND((G742-F742)*1440,0),""))</f>
        <v/>
      </c>
      <c r="J742" s="26" t="n"/>
      <c r="K742" s="9">
        <f>IF(D742="","",IFERROR(VLOOKUP(D742,参数!$A$5:$C$24,2,0),""))</f>
        <v/>
      </c>
      <c r="L742" s="9">
        <f>IF(D742="","",IFERROR(VLOOKUP(D742,参数!$A$5:$C$24,3,0),""))</f>
        <v/>
      </c>
      <c r="M742" s="21" t="n"/>
      <c r="N742" s="21" t="n"/>
      <c r="O742" s="21" t="n"/>
    </row>
    <row r="743">
      <c r="A743" s="24" t="n"/>
      <c r="B743" s="21" t="n"/>
      <c r="C743" s="21" t="n"/>
      <c r="D743" s="21" t="n"/>
      <c r="E743" s="21" t="n"/>
      <c r="F743" s="28" t="n"/>
      <c r="G743" s="28" t="n"/>
      <c r="H743" s="26" t="n"/>
      <c r="I743" s="10">
        <f>IF(H743&lt;&gt;"",H743,IF(AND(F743&lt;&gt;"",G743&lt;&gt;""),ROUND((G743-F743)*1440,0),""))</f>
        <v/>
      </c>
      <c r="J743" s="26" t="n"/>
      <c r="K743" s="9">
        <f>IF(D743="","",IFERROR(VLOOKUP(D743,参数!$A$5:$C$24,2,0),""))</f>
        <v/>
      </c>
      <c r="L743" s="9">
        <f>IF(D743="","",IFERROR(VLOOKUP(D743,参数!$A$5:$C$24,3,0),""))</f>
        <v/>
      </c>
      <c r="M743" s="21" t="n"/>
      <c r="N743" s="21" t="n"/>
      <c r="O743" s="21" t="n"/>
    </row>
    <row r="744">
      <c r="A744" s="24" t="n"/>
      <c r="B744" s="21" t="n"/>
      <c r="C744" s="21" t="n"/>
      <c r="D744" s="21" t="n"/>
      <c r="E744" s="21" t="n"/>
      <c r="F744" s="28" t="n"/>
      <c r="G744" s="28" t="n"/>
      <c r="H744" s="26" t="n"/>
      <c r="I744" s="10">
        <f>IF(H744&lt;&gt;"",H744,IF(AND(F744&lt;&gt;"",G744&lt;&gt;""),ROUND((G744-F744)*1440,0),""))</f>
        <v/>
      </c>
      <c r="J744" s="26" t="n"/>
      <c r="K744" s="9">
        <f>IF(D744="","",IFERROR(VLOOKUP(D744,参数!$A$5:$C$24,2,0),""))</f>
        <v/>
      </c>
      <c r="L744" s="9">
        <f>IF(D744="","",IFERROR(VLOOKUP(D744,参数!$A$5:$C$24,3,0),""))</f>
        <v/>
      </c>
      <c r="M744" s="21" t="n"/>
      <c r="N744" s="21" t="n"/>
      <c r="O744" s="21" t="n"/>
    </row>
    <row r="745">
      <c r="A745" s="24" t="n"/>
      <c r="B745" s="21" t="n"/>
      <c r="C745" s="21" t="n"/>
      <c r="D745" s="21" t="n"/>
      <c r="E745" s="21" t="n"/>
      <c r="F745" s="28" t="n"/>
      <c r="G745" s="28" t="n"/>
      <c r="H745" s="26" t="n"/>
      <c r="I745" s="10">
        <f>IF(H745&lt;&gt;"",H745,IF(AND(F745&lt;&gt;"",G745&lt;&gt;""),ROUND((G745-F745)*1440,0),""))</f>
        <v/>
      </c>
      <c r="J745" s="26" t="n"/>
      <c r="K745" s="9">
        <f>IF(D745="","",IFERROR(VLOOKUP(D745,参数!$A$5:$C$24,2,0),""))</f>
        <v/>
      </c>
      <c r="L745" s="9">
        <f>IF(D745="","",IFERROR(VLOOKUP(D745,参数!$A$5:$C$24,3,0),""))</f>
        <v/>
      </c>
      <c r="M745" s="21" t="n"/>
      <c r="N745" s="21" t="n"/>
      <c r="O745" s="21" t="n"/>
    </row>
    <row r="746">
      <c r="A746" s="24" t="n"/>
      <c r="B746" s="21" t="n"/>
      <c r="C746" s="21" t="n"/>
      <c r="D746" s="21" t="n"/>
      <c r="E746" s="21" t="n"/>
      <c r="F746" s="28" t="n"/>
      <c r="G746" s="28" t="n"/>
      <c r="H746" s="26" t="n"/>
      <c r="I746" s="10">
        <f>IF(H746&lt;&gt;"",H746,IF(AND(F746&lt;&gt;"",G746&lt;&gt;""),ROUND((G746-F746)*1440,0),""))</f>
        <v/>
      </c>
      <c r="J746" s="26" t="n"/>
      <c r="K746" s="9">
        <f>IF(D746="","",IFERROR(VLOOKUP(D746,参数!$A$5:$C$24,2,0),""))</f>
        <v/>
      </c>
      <c r="L746" s="9">
        <f>IF(D746="","",IFERROR(VLOOKUP(D746,参数!$A$5:$C$24,3,0),""))</f>
        <v/>
      </c>
      <c r="M746" s="21" t="n"/>
      <c r="N746" s="21" t="n"/>
      <c r="O746" s="21" t="n"/>
    </row>
    <row r="747">
      <c r="A747" s="24" t="n"/>
      <c r="B747" s="21" t="n"/>
      <c r="C747" s="21" t="n"/>
      <c r="D747" s="21" t="n"/>
      <c r="E747" s="21" t="n"/>
      <c r="F747" s="28" t="n"/>
      <c r="G747" s="28" t="n"/>
      <c r="H747" s="26" t="n"/>
      <c r="I747" s="10">
        <f>IF(H747&lt;&gt;"",H747,IF(AND(F747&lt;&gt;"",G747&lt;&gt;""),ROUND((G747-F747)*1440,0),""))</f>
        <v/>
      </c>
      <c r="J747" s="26" t="n"/>
      <c r="K747" s="9">
        <f>IF(D747="","",IFERROR(VLOOKUP(D747,参数!$A$5:$C$24,2,0),""))</f>
        <v/>
      </c>
      <c r="L747" s="9">
        <f>IF(D747="","",IFERROR(VLOOKUP(D747,参数!$A$5:$C$24,3,0),""))</f>
        <v/>
      </c>
      <c r="M747" s="21" t="n"/>
      <c r="N747" s="21" t="n"/>
      <c r="O747" s="21" t="n"/>
    </row>
    <row r="748">
      <c r="A748" s="24" t="n"/>
      <c r="B748" s="21" t="n"/>
      <c r="C748" s="21" t="n"/>
      <c r="D748" s="21" t="n"/>
      <c r="E748" s="21" t="n"/>
      <c r="F748" s="28" t="n"/>
      <c r="G748" s="28" t="n"/>
      <c r="H748" s="26" t="n"/>
      <c r="I748" s="10">
        <f>IF(H748&lt;&gt;"",H748,IF(AND(F748&lt;&gt;"",G748&lt;&gt;""),ROUND((G748-F748)*1440,0),""))</f>
        <v/>
      </c>
      <c r="J748" s="26" t="n"/>
      <c r="K748" s="9">
        <f>IF(D748="","",IFERROR(VLOOKUP(D748,参数!$A$5:$C$24,2,0),""))</f>
        <v/>
      </c>
      <c r="L748" s="9">
        <f>IF(D748="","",IFERROR(VLOOKUP(D748,参数!$A$5:$C$24,3,0),""))</f>
        <v/>
      </c>
      <c r="M748" s="21" t="n"/>
      <c r="N748" s="21" t="n"/>
      <c r="O748" s="21" t="n"/>
    </row>
    <row r="749">
      <c r="A749" s="24" t="n"/>
      <c r="B749" s="21" t="n"/>
      <c r="C749" s="21" t="n"/>
      <c r="D749" s="21" t="n"/>
      <c r="E749" s="21" t="n"/>
      <c r="F749" s="28" t="n"/>
      <c r="G749" s="28" t="n"/>
      <c r="H749" s="26" t="n"/>
      <c r="I749" s="10">
        <f>IF(H749&lt;&gt;"",H749,IF(AND(F749&lt;&gt;"",G749&lt;&gt;""),ROUND((G749-F749)*1440,0),""))</f>
        <v/>
      </c>
      <c r="J749" s="26" t="n"/>
      <c r="K749" s="9">
        <f>IF(D749="","",IFERROR(VLOOKUP(D749,参数!$A$5:$C$24,2,0),""))</f>
        <v/>
      </c>
      <c r="L749" s="9">
        <f>IF(D749="","",IFERROR(VLOOKUP(D749,参数!$A$5:$C$24,3,0),""))</f>
        <v/>
      </c>
      <c r="M749" s="21" t="n"/>
      <c r="N749" s="21" t="n"/>
      <c r="O749" s="21" t="n"/>
    </row>
    <row r="750">
      <c r="A750" s="24" t="n"/>
      <c r="B750" s="21" t="n"/>
      <c r="C750" s="21" t="n"/>
      <c r="D750" s="21" t="n"/>
      <c r="E750" s="21" t="n"/>
      <c r="F750" s="28" t="n"/>
      <c r="G750" s="28" t="n"/>
      <c r="H750" s="26" t="n"/>
      <c r="I750" s="10">
        <f>IF(H750&lt;&gt;"",H750,IF(AND(F750&lt;&gt;"",G750&lt;&gt;""),ROUND((G750-F750)*1440,0),""))</f>
        <v/>
      </c>
      <c r="J750" s="26" t="n"/>
      <c r="K750" s="9">
        <f>IF(D750="","",IFERROR(VLOOKUP(D750,参数!$A$5:$C$24,2,0),""))</f>
        <v/>
      </c>
      <c r="L750" s="9">
        <f>IF(D750="","",IFERROR(VLOOKUP(D750,参数!$A$5:$C$24,3,0),""))</f>
        <v/>
      </c>
      <c r="M750" s="21" t="n"/>
      <c r="N750" s="21" t="n"/>
      <c r="O750" s="21" t="n"/>
    </row>
    <row r="751">
      <c r="A751" s="24" t="n"/>
      <c r="B751" s="21" t="n"/>
      <c r="C751" s="21" t="n"/>
      <c r="D751" s="21" t="n"/>
      <c r="E751" s="21" t="n"/>
      <c r="F751" s="28" t="n"/>
      <c r="G751" s="28" t="n"/>
      <c r="H751" s="26" t="n"/>
      <c r="I751" s="10">
        <f>IF(H751&lt;&gt;"",H751,IF(AND(F751&lt;&gt;"",G751&lt;&gt;""),ROUND((G751-F751)*1440,0),""))</f>
        <v/>
      </c>
      <c r="J751" s="26" t="n"/>
      <c r="K751" s="9">
        <f>IF(D751="","",IFERROR(VLOOKUP(D751,参数!$A$5:$C$24,2,0),""))</f>
        <v/>
      </c>
      <c r="L751" s="9">
        <f>IF(D751="","",IFERROR(VLOOKUP(D751,参数!$A$5:$C$24,3,0),""))</f>
        <v/>
      </c>
      <c r="M751" s="21" t="n"/>
      <c r="N751" s="21" t="n"/>
      <c r="O751" s="21" t="n"/>
    </row>
    <row r="752">
      <c r="A752" s="24" t="n"/>
      <c r="B752" s="21" t="n"/>
      <c r="C752" s="21" t="n"/>
      <c r="D752" s="21" t="n"/>
      <c r="E752" s="21" t="n"/>
      <c r="F752" s="28" t="n"/>
      <c r="G752" s="28" t="n"/>
      <c r="H752" s="26" t="n"/>
      <c r="I752" s="10">
        <f>IF(H752&lt;&gt;"",H752,IF(AND(F752&lt;&gt;"",G752&lt;&gt;""),ROUND((G752-F752)*1440,0),""))</f>
        <v/>
      </c>
      <c r="J752" s="26" t="n"/>
      <c r="K752" s="9">
        <f>IF(D752="","",IFERROR(VLOOKUP(D752,参数!$A$5:$C$24,2,0),""))</f>
        <v/>
      </c>
      <c r="L752" s="9">
        <f>IF(D752="","",IFERROR(VLOOKUP(D752,参数!$A$5:$C$24,3,0),""))</f>
        <v/>
      </c>
      <c r="M752" s="21" t="n"/>
      <c r="N752" s="21" t="n"/>
      <c r="O752" s="21" t="n"/>
    </row>
    <row r="753">
      <c r="A753" s="24" t="n"/>
      <c r="B753" s="21" t="n"/>
      <c r="C753" s="21" t="n"/>
      <c r="D753" s="21" t="n"/>
      <c r="E753" s="21" t="n"/>
      <c r="F753" s="28" t="n"/>
      <c r="G753" s="28" t="n"/>
      <c r="H753" s="26" t="n"/>
      <c r="I753" s="10">
        <f>IF(H753&lt;&gt;"",H753,IF(AND(F753&lt;&gt;"",G753&lt;&gt;""),ROUND((G753-F753)*1440,0),""))</f>
        <v/>
      </c>
      <c r="J753" s="26" t="n"/>
      <c r="K753" s="9">
        <f>IF(D753="","",IFERROR(VLOOKUP(D753,参数!$A$5:$C$24,2,0),""))</f>
        <v/>
      </c>
      <c r="L753" s="9">
        <f>IF(D753="","",IFERROR(VLOOKUP(D753,参数!$A$5:$C$24,3,0),""))</f>
        <v/>
      </c>
      <c r="M753" s="21" t="n"/>
      <c r="N753" s="21" t="n"/>
      <c r="O753" s="21" t="n"/>
    </row>
    <row r="754">
      <c r="A754" s="24" t="n"/>
      <c r="B754" s="21" t="n"/>
      <c r="C754" s="21" t="n"/>
      <c r="D754" s="21" t="n"/>
      <c r="E754" s="21" t="n"/>
      <c r="F754" s="28" t="n"/>
      <c r="G754" s="28" t="n"/>
      <c r="H754" s="26" t="n"/>
      <c r="I754" s="10">
        <f>IF(H754&lt;&gt;"",H754,IF(AND(F754&lt;&gt;"",G754&lt;&gt;""),ROUND((G754-F754)*1440,0),""))</f>
        <v/>
      </c>
      <c r="J754" s="26" t="n"/>
      <c r="K754" s="9">
        <f>IF(D754="","",IFERROR(VLOOKUP(D754,参数!$A$5:$C$24,2,0),""))</f>
        <v/>
      </c>
      <c r="L754" s="9">
        <f>IF(D754="","",IFERROR(VLOOKUP(D754,参数!$A$5:$C$24,3,0),""))</f>
        <v/>
      </c>
      <c r="M754" s="21" t="n"/>
      <c r="N754" s="21" t="n"/>
      <c r="O754" s="21" t="n"/>
    </row>
    <row r="755">
      <c r="A755" s="24" t="n"/>
      <c r="B755" s="21" t="n"/>
      <c r="C755" s="21" t="n"/>
      <c r="D755" s="21" t="n"/>
      <c r="E755" s="21" t="n"/>
      <c r="F755" s="28" t="n"/>
      <c r="G755" s="28" t="n"/>
      <c r="H755" s="26" t="n"/>
      <c r="I755" s="10">
        <f>IF(H755&lt;&gt;"",H755,IF(AND(F755&lt;&gt;"",G755&lt;&gt;""),ROUND((G755-F755)*1440,0),""))</f>
        <v/>
      </c>
      <c r="J755" s="26" t="n"/>
      <c r="K755" s="9">
        <f>IF(D755="","",IFERROR(VLOOKUP(D755,参数!$A$5:$C$24,2,0),""))</f>
        <v/>
      </c>
      <c r="L755" s="9">
        <f>IF(D755="","",IFERROR(VLOOKUP(D755,参数!$A$5:$C$24,3,0),""))</f>
        <v/>
      </c>
      <c r="M755" s="21" t="n"/>
      <c r="N755" s="21" t="n"/>
      <c r="O755" s="21" t="n"/>
    </row>
    <row r="756">
      <c r="A756" s="24" t="n"/>
      <c r="B756" s="21" t="n"/>
      <c r="C756" s="21" t="n"/>
      <c r="D756" s="21" t="n"/>
      <c r="E756" s="21" t="n"/>
      <c r="F756" s="28" t="n"/>
      <c r="G756" s="28" t="n"/>
      <c r="H756" s="26" t="n"/>
      <c r="I756" s="10">
        <f>IF(H756&lt;&gt;"",H756,IF(AND(F756&lt;&gt;"",G756&lt;&gt;""),ROUND((G756-F756)*1440,0),""))</f>
        <v/>
      </c>
      <c r="J756" s="26" t="n"/>
      <c r="K756" s="9">
        <f>IF(D756="","",IFERROR(VLOOKUP(D756,参数!$A$5:$C$24,2,0),""))</f>
        <v/>
      </c>
      <c r="L756" s="9">
        <f>IF(D756="","",IFERROR(VLOOKUP(D756,参数!$A$5:$C$24,3,0),""))</f>
        <v/>
      </c>
      <c r="M756" s="21" t="n"/>
      <c r="N756" s="21" t="n"/>
      <c r="O756" s="21" t="n"/>
    </row>
    <row r="757">
      <c r="A757" s="24" t="n"/>
      <c r="B757" s="21" t="n"/>
      <c r="C757" s="21" t="n"/>
      <c r="D757" s="21" t="n"/>
      <c r="E757" s="21" t="n"/>
      <c r="F757" s="28" t="n"/>
      <c r="G757" s="28" t="n"/>
      <c r="H757" s="26" t="n"/>
      <c r="I757" s="10">
        <f>IF(H757&lt;&gt;"",H757,IF(AND(F757&lt;&gt;"",G757&lt;&gt;""),ROUND((G757-F757)*1440,0),""))</f>
        <v/>
      </c>
      <c r="J757" s="26" t="n"/>
      <c r="K757" s="9">
        <f>IF(D757="","",IFERROR(VLOOKUP(D757,参数!$A$5:$C$24,2,0),""))</f>
        <v/>
      </c>
      <c r="L757" s="9">
        <f>IF(D757="","",IFERROR(VLOOKUP(D757,参数!$A$5:$C$24,3,0),""))</f>
        <v/>
      </c>
      <c r="M757" s="21" t="n"/>
      <c r="N757" s="21" t="n"/>
      <c r="O757" s="21" t="n"/>
    </row>
    <row r="758">
      <c r="A758" s="24" t="n"/>
      <c r="B758" s="21" t="n"/>
      <c r="C758" s="21" t="n"/>
      <c r="D758" s="21" t="n"/>
      <c r="E758" s="21" t="n"/>
      <c r="F758" s="28" t="n"/>
      <c r="G758" s="28" t="n"/>
      <c r="H758" s="26" t="n"/>
      <c r="I758" s="10">
        <f>IF(H758&lt;&gt;"",H758,IF(AND(F758&lt;&gt;"",G758&lt;&gt;""),ROUND((G758-F758)*1440,0),""))</f>
        <v/>
      </c>
      <c r="J758" s="26" t="n"/>
      <c r="K758" s="9">
        <f>IF(D758="","",IFERROR(VLOOKUP(D758,参数!$A$5:$C$24,2,0),""))</f>
        <v/>
      </c>
      <c r="L758" s="9">
        <f>IF(D758="","",IFERROR(VLOOKUP(D758,参数!$A$5:$C$24,3,0),""))</f>
        <v/>
      </c>
      <c r="M758" s="21" t="n"/>
      <c r="N758" s="21" t="n"/>
      <c r="O758" s="21" t="n"/>
    </row>
    <row r="759">
      <c r="A759" s="24" t="n"/>
      <c r="B759" s="21" t="n"/>
      <c r="C759" s="21" t="n"/>
      <c r="D759" s="21" t="n"/>
      <c r="E759" s="21" t="n"/>
      <c r="F759" s="28" t="n"/>
      <c r="G759" s="28" t="n"/>
      <c r="H759" s="26" t="n"/>
      <c r="I759" s="10">
        <f>IF(H759&lt;&gt;"",H759,IF(AND(F759&lt;&gt;"",G759&lt;&gt;""),ROUND((G759-F759)*1440,0),""))</f>
        <v/>
      </c>
      <c r="J759" s="26" t="n"/>
      <c r="K759" s="9">
        <f>IF(D759="","",IFERROR(VLOOKUP(D759,参数!$A$5:$C$24,2,0),""))</f>
        <v/>
      </c>
      <c r="L759" s="9">
        <f>IF(D759="","",IFERROR(VLOOKUP(D759,参数!$A$5:$C$24,3,0),""))</f>
        <v/>
      </c>
      <c r="M759" s="21" t="n"/>
      <c r="N759" s="21" t="n"/>
      <c r="O759" s="21" t="n"/>
    </row>
    <row r="760">
      <c r="A760" s="24" t="n"/>
      <c r="B760" s="21" t="n"/>
      <c r="C760" s="21" t="n"/>
      <c r="D760" s="21" t="n"/>
      <c r="E760" s="21" t="n"/>
      <c r="F760" s="28" t="n"/>
      <c r="G760" s="28" t="n"/>
      <c r="H760" s="26" t="n"/>
      <c r="I760" s="10">
        <f>IF(H760&lt;&gt;"",H760,IF(AND(F760&lt;&gt;"",G760&lt;&gt;""),ROUND((G760-F760)*1440,0),""))</f>
        <v/>
      </c>
      <c r="J760" s="26" t="n"/>
      <c r="K760" s="9">
        <f>IF(D760="","",IFERROR(VLOOKUP(D760,参数!$A$5:$C$24,2,0),""))</f>
        <v/>
      </c>
      <c r="L760" s="9">
        <f>IF(D760="","",IFERROR(VLOOKUP(D760,参数!$A$5:$C$24,3,0),""))</f>
        <v/>
      </c>
      <c r="M760" s="21" t="n"/>
      <c r="N760" s="21" t="n"/>
      <c r="O760" s="21" t="n"/>
    </row>
    <row r="761">
      <c r="A761" s="24" t="n"/>
      <c r="B761" s="21" t="n"/>
      <c r="C761" s="21" t="n"/>
      <c r="D761" s="21" t="n"/>
      <c r="E761" s="21" t="n"/>
      <c r="F761" s="28" t="n"/>
      <c r="G761" s="28" t="n"/>
      <c r="H761" s="26" t="n"/>
      <c r="I761" s="10">
        <f>IF(H761&lt;&gt;"",H761,IF(AND(F761&lt;&gt;"",G761&lt;&gt;""),ROUND((G761-F761)*1440,0),""))</f>
        <v/>
      </c>
      <c r="J761" s="26" t="n"/>
      <c r="K761" s="9">
        <f>IF(D761="","",IFERROR(VLOOKUP(D761,参数!$A$5:$C$24,2,0),""))</f>
        <v/>
      </c>
      <c r="L761" s="9">
        <f>IF(D761="","",IFERROR(VLOOKUP(D761,参数!$A$5:$C$24,3,0),""))</f>
        <v/>
      </c>
      <c r="M761" s="21" t="n"/>
      <c r="N761" s="21" t="n"/>
      <c r="O761" s="21" t="n"/>
    </row>
    <row r="762">
      <c r="A762" s="24" t="n"/>
      <c r="B762" s="21" t="n"/>
      <c r="C762" s="21" t="n"/>
      <c r="D762" s="21" t="n"/>
      <c r="E762" s="21" t="n"/>
      <c r="F762" s="28" t="n"/>
      <c r="G762" s="28" t="n"/>
      <c r="H762" s="26" t="n"/>
      <c r="I762" s="10">
        <f>IF(H762&lt;&gt;"",H762,IF(AND(F762&lt;&gt;"",G762&lt;&gt;""),ROUND((G762-F762)*1440,0),""))</f>
        <v/>
      </c>
      <c r="J762" s="26" t="n"/>
      <c r="K762" s="9">
        <f>IF(D762="","",IFERROR(VLOOKUP(D762,参数!$A$5:$C$24,2,0),""))</f>
        <v/>
      </c>
      <c r="L762" s="9">
        <f>IF(D762="","",IFERROR(VLOOKUP(D762,参数!$A$5:$C$24,3,0),""))</f>
        <v/>
      </c>
      <c r="M762" s="21" t="n"/>
      <c r="N762" s="21" t="n"/>
      <c r="O762" s="21" t="n"/>
    </row>
    <row r="763">
      <c r="A763" s="24" t="n"/>
      <c r="B763" s="21" t="n"/>
      <c r="C763" s="21" t="n"/>
      <c r="D763" s="21" t="n"/>
      <c r="E763" s="21" t="n"/>
      <c r="F763" s="28" t="n"/>
      <c r="G763" s="28" t="n"/>
      <c r="H763" s="26" t="n"/>
      <c r="I763" s="10">
        <f>IF(H763&lt;&gt;"",H763,IF(AND(F763&lt;&gt;"",G763&lt;&gt;""),ROUND((G763-F763)*1440,0),""))</f>
        <v/>
      </c>
      <c r="J763" s="26" t="n"/>
      <c r="K763" s="9">
        <f>IF(D763="","",IFERROR(VLOOKUP(D763,参数!$A$5:$C$24,2,0),""))</f>
        <v/>
      </c>
      <c r="L763" s="9">
        <f>IF(D763="","",IFERROR(VLOOKUP(D763,参数!$A$5:$C$24,3,0),""))</f>
        <v/>
      </c>
      <c r="M763" s="21" t="n"/>
      <c r="N763" s="21" t="n"/>
      <c r="O763" s="21" t="n"/>
    </row>
    <row r="764">
      <c r="A764" s="24" t="n"/>
      <c r="B764" s="21" t="n"/>
      <c r="C764" s="21" t="n"/>
      <c r="D764" s="21" t="n"/>
      <c r="E764" s="21" t="n"/>
      <c r="F764" s="28" t="n"/>
      <c r="G764" s="28" t="n"/>
      <c r="H764" s="26" t="n"/>
      <c r="I764" s="10">
        <f>IF(H764&lt;&gt;"",H764,IF(AND(F764&lt;&gt;"",G764&lt;&gt;""),ROUND((G764-F764)*1440,0),""))</f>
        <v/>
      </c>
      <c r="J764" s="26" t="n"/>
      <c r="K764" s="9">
        <f>IF(D764="","",IFERROR(VLOOKUP(D764,参数!$A$5:$C$24,2,0),""))</f>
        <v/>
      </c>
      <c r="L764" s="9">
        <f>IF(D764="","",IFERROR(VLOOKUP(D764,参数!$A$5:$C$24,3,0),""))</f>
        <v/>
      </c>
      <c r="M764" s="21" t="n"/>
      <c r="N764" s="21" t="n"/>
      <c r="O764" s="21" t="n"/>
    </row>
    <row r="765">
      <c r="A765" s="24" t="n"/>
      <c r="B765" s="21" t="n"/>
      <c r="C765" s="21" t="n"/>
      <c r="D765" s="21" t="n"/>
      <c r="E765" s="21" t="n"/>
      <c r="F765" s="28" t="n"/>
      <c r="G765" s="28" t="n"/>
      <c r="H765" s="26" t="n"/>
      <c r="I765" s="10">
        <f>IF(H765&lt;&gt;"",H765,IF(AND(F765&lt;&gt;"",G765&lt;&gt;""),ROUND((G765-F765)*1440,0),""))</f>
        <v/>
      </c>
      <c r="J765" s="26" t="n"/>
      <c r="K765" s="9">
        <f>IF(D765="","",IFERROR(VLOOKUP(D765,参数!$A$5:$C$24,2,0),""))</f>
        <v/>
      </c>
      <c r="L765" s="9">
        <f>IF(D765="","",IFERROR(VLOOKUP(D765,参数!$A$5:$C$24,3,0),""))</f>
        <v/>
      </c>
      <c r="M765" s="21" t="n"/>
      <c r="N765" s="21" t="n"/>
      <c r="O765" s="21" t="n"/>
    </row>
    <row r="766">
      <c r="A766" s="24" t="n"/>
      <c r="B766" s="21" t="n"/>
      <c r="C766" s="21" t="n"/>
      <c r="D766" s="21" t="n"/>
      <c r="E766" s="21" t="n"/>
      <c r="F766" s="28" t="n"/>
      <c r="G766" s="28" t="n"/>
      <c r="H766" s="26" t="n"/>
      <c r="I766" s="10">
        <f>IF(H766&lt;&gt;"",H766,IF(AND(F766&lt;&gt;"",G766&lt;&gt;""),ROUND((G766-F766)*1440,0),""))</f>
        <v/>
      </c>
      <c r="J766" s="26" t="n"/>
      <c r="K766" s="9">
        <f>IF(D766="","",IFERROR(VLOOKUP(D766,参数!$A$5:$C$24,2,0),""))</f>
        <v/>
      </c>
      <c r="L766" s="9">
        <f>IF(D766="","",IFERROR(VLOOKUP(D766,参数!$A$5:$C$24,3,0),""))</f>
        <v/>
      </c>
      <c r="M766" s="21" t="n"/>
      <c r="N766" s="21" t="n"/>
      <c r="O766" s="21" t="n"/>
    </row>
    <row r="767">
      <c r="A767" s="24" t="n"/>
      <c r="B767" s="21" t="n"/>
      <c r="C767" s="21" t="n"/>
      <c r="D767" s="21" t="n"/>
      <c r="E767" s="21" t="n"/>
      <c r="F767" s="28" t="n"/>
      <c r="G767" s="28" t="n"/>
      <c r="H767" s="26" t="n"/>
      <c r="I767" s="10">
        <f>IF(H767&lt;&gt;"",H767,IF(AND(F767&lt;&gt;"",G767&lt;&gt;""),ROUND((G767-F767)*1440,0),""))</f>
        <v/>
      </c>
      <c r="J767" s="26" t="n"/>
      <c r="K767" s="9">
        <f>IF(D767="","",IFERROR(VLOOKUP(D767,参数!$A$5:$C$24,2,0),""))</f>
        <v/>
      </c>
      <c r="L767" s="9">
        <f>IF(D767="","",IFERROR(VLOOKUP(D767,参数!$A$5:$C$24,3,0),""))</f>
        <v/>
      </c>
      <c r="M767" s="21" t="n"/>
      <c r="N767" s="21" t="n"/>
      <c r="O767" s="21" t="n"/>
    </row>
    <row r="768">
      <c r="A768" s="24" t="n"/>
      <c r="B768" s="21" t="n"/>
      <c r="C768" s="21" t="n"/>
      <c r="D768" s="21" t="n"/>
      <c r="E768" s="21" t="n"/>
      <c r="F768" s="28" t="n"/>
      <c r="G768" s="28" t="n"/>
      <c r="H768" s="26" t="n"/>
      <c r="I768" s="10">
        <f>IF(H768&lt;&gt;"",H768,IF(AND(F768&lt;&gt;"",G768&lt;&gt;""),ROUND((G768-F768)*1440,0),""))</f>
        <v/>
      </c>
      <c r="J768" s="26" t="n"/>
      <c r="K768" s="9">
        <f>IF(D768="","",IFERROR(VLOOKUP(D768,参数!$A$5:$C$24,2,0),""))</f>
        <v/>
      </c>
      <c r="L768" s="9">
        <f>IF(D768="","",IFERROR(VLOOKUP(D768,参数!$A$5:$C$24,3,0),""))</f>
        <v/>
      </c>
      <c r="M768" s="21" t="n"/>
      <c r="N768" s="21" t="n"/>
      <c r="O768" s="21" t="n"/>
    </row>
    <row r="769">
      <c r="A769" s="24" t="n"/>
      <c r="B769" s="21" t="n"/>
      <c r="C769" s="21" t="n"/>
      <c r="D769" s="21" t="n"/>
      <c r="E769" s="21" t="n"/>
      <c r="F769" s="28" t="n"/>
      <c r="G769" s="28" t="n"/>
      <c r="H769" s="26" t="n"/>
      <c r="I769" s="10">
        <f>IF(H769&lt;&gt;"",H769,IF(AND(F769&lt;&gt;"",G769&lt;&gt;""),ROUND((G769-F769)*1440,0),""))</f>
        <v/>
      </c>
      <c r="J769" s="26" t="n"/>
      <c r="K769" s="9">
        <f>IF(D769="","",IFERROR(VLOOKUP(D769,参数!$A$5:$C$24,2,0),""))</f>
        <v/>
      </c>
      <c r="L769" s="9">
        <f>IF(D769="","",IFERROR(VLOOKUP(D769,参数!$A$5:$C$24,3,0),""))</f>
        <v/>
      </c>
      <c r="M769" s="21" t="n"/>
      <c r="N769" s="21" t="n"/>
      <c r="O769" s="21" t="n"/>
    </row>
    <row r="770">
      <c r="A770" s="24" t="n"/>
      <c r="B770" s="21" t="n"/>
      <c r="C770" s="21" t="n"/>
      <c r="D770" s="21" t="n"/>
      <c r="E770" s="21" t="n"/>
      <c r="F770" s="28" t="n"/>
      <c r="G770" s="28" t="n"/>
      <c r="H770" s="26" t="n"/>
      <c r="I770" s="10">
        <f>IF(H770&lt;&gt;"",H770,IF(AND(F770&lt;&gt;"",G770&lt;&gt;""),ROUND((G770-F770)*1440,0),""))</f>
        <v/>
      </c>
      <c r="J770" s="26" t="n"/>
      <c r="K770" s="9">
        <f>IF(D770="","",IFERROR(VLOOKUP(D770,参数!$A$5:$C$24,2,0),""))</f>
        <v/>
      </c>
      <c r="L770" s="9">
        <f>IF(D770="","",IFERROR(VLOOKUP(D770,参数!$A$5:$C$24,3,0),""))</f>
        <v/>
      </c>
      <c r="M770" s="21" t="n"/>
      <c r="N770" s="21" t="n"/>
      <c r="O770" s="21" t="n"/>
    </row>
    <row r="771">
      <c r="A771" s="24" t="n"/>
      <c r="B771" s="21" t="n"/>
      <c r="C771" s="21" t="n"/>
      <c r="D771" s="21" t="n"/>
      <c r="E771" s="21" t="n"/>
      <c r="F771" s="28" t="n"/>
      <c r="G771" s="28" t="n"/>
      <c r="H771" s="26" t="n"/>
      <c r="I771" s="10">
        <f>IF(H771&lt;&gt;"",H771,IF(AND(F771&lt;&gt;"",G771&lt;&gt;""),ROUND((G771-F771)*1440,0),""))</f>
        <v/>
      </c>
      <c r="J771" s="26" t="n"/>
      <c r="K771" s="9">
        <f>IF(D771="","",IFERROR(VLOOKUP(D771,参数!$A$5:$C$24,2,0),""))</f>
        <v/>
      </c>
      <c r="L771" s="9">
        <f>IF(D771="","",IFERROR(VLOOKUP(D771,参数!$A$5:$C$24,3,0),""))</f>
        <v/>
      </c>
      <c r="M771" s="21" t="n"/>
      <c r="N771" s="21" t="n"/>
      <c r="O771" s="21" t="n"/>
    </row>
    <row r="772">
      <c r="A772" s="24" t="n"/>
      <c r="B772" s="21" t="n"/>
      <c r="C772" s="21" t="n"/>
      <c r="D772" s="21" t="n"/>
      <c r="E772" s="21" t="n"/>
      <c r="F772" s="28" t="n"/>
      <c r="G772" s="28" t="n"/>
      <c r="H772" s="26" t="n"/>
      <c r="I772" s="10">
        <f>IF(H772&lt;&gt;"",H772,IF(AND(F772&lt;&gt;"",G772&lt;&gt;""),ROUND((G772-F772)*1440,0),""))</f>
        <v/>
      </c>
      <c r="J772" s="26" t="n"/>
      <c r="K772" s="9">
        <f>IF(D772="","",IFERROR(VLOOKUP(D772,参数!$A$5:$C$24,2,0),""))</f>
        <v/>
      </c>
      <c r="L772" s="9">
        <f>IF(D772="","",IFERROR(VLOOKUP(D772,参数!$A$5:$C$24,3,0),""))</f>
        <v/>
      </c>
      <c r="M772" s="21" t="n"/>
      <c r="N772" s="21" t="n"/>
      <c r="O772" s="21" t="n"/>
    </row>
    <row r="773">
      <c r="A773" s="24" t="n"/>
      <c r="B773" s="21" t="n"/>
      <c r="C773" s="21" t="n"/>
      <c r="D773" s="21" t="n"/>
      <c r="E773" s="21" t="n"/>
      <c r="F773" s="28" t="n"/>
      <c r="G773" s="28" t="n"/>
      <c r="H773" s="26" t="n"/>
      <c r="I773" s="10">
        <f>IF(H773&lt;&gt;"",H773,IF(AND(F773&lt;&gt;"",G773&lt;&gt;""),ROUND((G773-F773)*1440,0),""))</f>
        <v/>
      </c>
      <c r="J773" s="26" t="n"/>
      <c r="K773" s="9">
        <f>IF(D773="","",IFERROR(VLOOKUP(D773,参数!$A$5:$C$24,2,0),""))</f>
        <v/>
      </c>
      <c r="L773" s="9">
        <f>IF(D773="","",IFERROR(VLOOKUP(D773,参数!$A$5:$C$24,3,0),""))</f>
        <v/>
      </c>
      <c r="M773" s="21" t="n"/>
      <c r="N773" s="21" t="n"/>
      <c r="O773" s="21" t="n"/>
    </row>
    <row r="774">
      <c r="A774" s="24" t="n"/>
      <c r="B774" s="21" t="n"/>
      <c r="C774" s="21" t="n"/>
      <c r="D774" s="21" t="n"/>
      <c r="E774" s="21" t="n"/>
      <c r="F774" s="28" t="n"/>
      <c r="G774" s="28" t="n"/>
      <c r="H774" s="26" t="n"/>
      <c r="I774" s="10">
        <f>IF(H774&lt;&gt;"",H774,IF(AND(F774&lt;&gt;"",G774&lt;&gt;""),ROUND((G774-F774)*1440,0),""))</f>
        <v/>
      </c>
      <c r="J774" s="26" t="n"/>
      <c r="K774" s="9">
        <f>IF(D774="","",IFERROR(VLOOKUP(D774,参数!$A$5:$C$24,2,0),""))</f>
        <v/>
      </c>
      <c r="L774" s="9">
        <f>IF(D774="","",IFERROR(VLOOKUP(D774,参数!$A$5:$C$24,3,0),""))</f>
        <v/>
      </c>
      <c r="M774" s="21" t="n"/>
      <c r="N774" s="21" t="n"/>
      <c r="O774" s="21" t="n"/>
    </row>
    <row r="775">
      <c r="A775" s="24" t="n"/>
      <c r="B775" s="21" t="n"/>
      <c r="C775" s="21" t="n"/>
      <c r="D775" s="21" t="n"/>
      <c r="E775" s="21" t="n"/>
      <c r="F775" s="28" t="n"/>
      <c r="G775" s="28" t="n"/>
      <c r="H775" s="26" t="n"/>
      <c r="I775" s="10">
        <f>IF(H775&lt;&gt;"",H775,IF(AND(F775&lt;&gt;"",G775&lt;&gt;""),ROUND((G775-F775)*1440,0),""))</f>
        <v/>
      </c>
      <c r="J775" s="26" t="n"/>
      <c r="K775" s="9">
        <f>IF(D775="","",IFERROR(VLOOKUP(D775,参数!$A$5:$C$24,2,0),""))</f>
        <v/>
      </c>
      <c r="L775" s="9">
        <f>IF(D775="","",IFERROR(VLOOKUP(D775,参数!$A$5:$C$24,3,0),""))</f>
        <v/>
      </c>
      <c r="M775" s="21" t="n"/>
      <c r="N775" s="21" t="n"/>
      <c r="O775" s="21" t="n"/>
    </row>
    <row r="776">
      <c r="A776" s="24" t="n"/>
      <c r="B776" s="21" t="n"/>
      <c r="C776" s="21" t="n"/>
      <c r="D776" s="21" t="n"/>
      <c r="E776" s="21" t="n"/>
      <c r="F776" s="28" t="n"/>
      <c r="G776" s="28" t="n"/>
      <c r="H776" s="26" t="n"/>
      <c r="I776" s="10">
        <f>IF(H776&lt;&gt;"",H776,IF(AND(F776&lt;&gt;"",G776&lt;&gt;""),ROUND((G776-F776)*1440,0),""))</f>
        <v/>
      </c>
      <c r="J776" s="26" t="n"/>
      <c r="K776" s="9">
        <f>IF(D776="","",IFERROR(VLOOKUP(D776,参数!$A$5:$C$24,2,0),""))</f>
        <v/>
      </c>
      <c r="L776" s="9">
        <f>IF(D776="","",IFERROR(VLOOKUP(D776,参数!$A$5:$C$24,3,0),""))</f>
        <v/>
      </c>
      <c r="M776" s="21" t="n"/>
      <c r="N776" s="21" t="n"/>
      <c r="O776" s="21" t="n"/>
    </row>
    <row r="777">
      <c r="A777" s="24" t="n"/>
      <c r="B777" s="21" t="n"/>
      <c r="C777" s="21" t="n"/>
      <c r="D777" s="21" t="n"/>
      <c r="E777" s="21" t="n"/>
      <c r="F777" s="28" t="n"/>
      <c r="G777" s="28" t="n"/>
      <c r="H777" s="26" t="n"/>
      <c r="I777" s="10">
        <f>IF(H777&lt;&gt;"",H777,IF(AND(F777&lt;&gt;"",G777&lt;&gt;""),ROUND((G777-F777)*1440,0),""))</f>
        <v/>
      </c>
      <c r="J777" s="26" t="n"/>
      <c r="K777" s="9">
        <f>IF(D777="","",IFERROR(VLOOKUP(D777,参数!$A$5:$C$24,2,0),""))</f>
        <v/>
      </c>
      <c r="L777" s="9">
        <f>IF(D777="","",IFERROR(VLOOKUP(D777,参数!$A$5:$C$24,3,0),""))</f>
        <v/>
      </c>
      <c r="M777" s="21" t="n"/>
      <c r="N777" s="21" t="n"/>
      <c r="O777" s="21" t="n"/>
    </row>
    <row r="778">
      <c r="A778" s="24" t="n"/>
      <c r="B778" s="21" t="n"/>
      <c r="C778" s="21" t="n"/>
      <c r="D778" s="21" t="n"/>
      <c r="E778" s="21" t="n"/>
      <c r="F778" s="28" t="n"/>
      <c r="G778" s="28" t="n"/>
      <c r="H778" s="26" t="n"/>
      <c r="I778" s="10">
        <f>IF(H778&lt;&gt;"",H778,IF(AND(F778&lt;&gt;"",G778&lt;&gt;""),ROUND((G778-F778)*1440,0),""))</f>
        <v/>
      </c>
      <c r="J778" s="26" t="n"/>
      <c r="K778" s="9">
        <f>IF(D778="","",IFERROR(VLOOKUP(D778,参数!$A$5:$C$24,2,0),""))</f>
        <v/>
      </c>
      <c r="L778" s="9">
        <f>IF(D778="","",IFERROR(VLOOKUP(D778,参数!$A$5:$C$24,3,0),""))</f>
        <v/>
      </c>
      <c r="M778" s="21" t="n"/>
      <c r="N778" s="21" t="n"/>
      <c r="O778" s="21" t="n"/>
    </row>
    <row r="779">
      <c r="A779" s="24" t="n"/>
      <c r="B779" s="21" t="n"/>
      <c r="C779" s="21" t="n"/>
      <c r="D779" s="21" t="n"/>
      <c r="E779" s="21" t="n"/>
      <c r="F779" s="28" t="n"/>
      <c r="G779" s="28" t="n"/>
      <c r="H779" s="26" t="n"/>
      <c r="I779" s="10">
        <f>IF(H779&lt;&gt;"",H779,IF(AND(F779&lt;&gt;"",G779&lt;&gt;""),ROUND((G779-F779)*1440,0),""))</f>
        <v/>
      </c>
      <c r="J779" s="26" t="n"/>
      <c r="K779" s="9">
        <f>IF(D779="","",IFERROR(VLOOKUP(D779,参数!$A$5:$C$24,2,0),""))</f>
        <v/>
      </c>
      <c r="L779" s="9">
        <f>IF(D779="","",IFERROR(VLOOKUP(D779,参数!$A$5:$C$24,3,0),""))</f>
        <v/>
      </c>
      <c r="M779" s="21" t="n"/>
      <c r="N779" s="21" t="n"/>
      <c r="O779" s="21" t="n"/>
    </row>
    <row r="780">
      <c r="A780" s="24" t="n"/>
      <c r="B780" s="21" t="n"/>
      <c r="C780" s="21" t="n"/>
      <c r="D780" s="21" t="n"/>
      <c r="E780" s="21" t="n"/>
      <c r="F780" s="28" t="n"/>
      <c r="G780" s="28" t="n"/>
      <c r="H780" s="26" t="n"/>
      <c r="I780" s="10">
        <f>IF(H780&lt;&gt;"",H780,IF(AND(F780&lt;&gt;"",G780&lt;&gt;""),ROUND((G780-F780)*1440,0),""))</f>
        <v/>
      </c>
      <c r="J780" s="26" t="n"/>
      <c r="K780" s="9">
        <f>IF(D780="","",IFERROR(VLOOKUP(D780,参数!$A$5:$C$24,2,0),""))</f>
        <v/>
      </c>
      <c r="L780" s="9">
        <f>IF(D780="","",IFERROR(VLOOKUP(D780,参数!$A$5:$C$24,3,0),""))</f>
        <v/>
      </c>
      <c r="M780" s="21" t="n"/>
      <c r="N780" s="21" t="n"/>
      <c r="O780" s="21" t="n"/>
    </row>
    <row r="781">
      <c r="A781" s="24" t="n"/>
      <c r="B781" s="21" t="n"/>
      <c r="C781" s="21" t="n"/>
      <c r="D781" s="21" t="n"/>
      <c r="E781" s="21" t="n"/>
      <c r="F781" s="28" t="n"/>
      <c r="G781" s="28" t="n"/>
      <c r="H781" s="26" t="n"/>
      <c r="I781" s="10">
        <f>IF(H781&lt;&gt;"",H781,IF(AND(F781&lt;&gt;"",G781&lt;&gt;""),ROUND((G781-F781)*1440,0),""))</f>
        <v/>
      </c>
      <c r="J781" s="26" t="n"/>
      <c r="K781" s="9">
        <f>IF(D781="","",IFERROR(VLOOKUP(D781,参数!$A$5:$C$24,2,0),""))</f>
        <v/>
      </c>
      <c r="L781" s="9">
        <f>IF(D781="","",IFERROR(VLOOKUP(D781,参数!$A$5:$C$24,3,0),""))</f>
        <v/>
      </c>
      <c r="M781" s="21" t="n"/>
      <c r="N781" s="21" t="n"/>
      <c r="O781" s="21" t="n"/>
    </row>
    <row r="782">
      <c r="A782" s="24" t="n"/>
      <c r="B782" s="21" t="n"/>
      <c r="C782" s="21" t="n"/>
      <c r="D782" s="21" t="n"/>
      <c r="E782" s="21" t="n"/>
      <c r="F782" s="28" t="n"/>
      <c r="G782" s="28" t="n"/>
      <c r="H782" s="26" t="n"/>
      <c r="I782" s="10">
        <f>IF(H782&lt;&gt;"",H782,IF(AND(F782&lt;&gt;"",G782&lt;&gt;""),ROUND((G782-F782)*1440,0),""))</f>
        <v/>
      </c>
      <c r="J782" s="26" t="n"/>
      <c r="K782" s="9">
        <f>IF(D782="","",IFERROR(VLOOKUP(D782,参数!$A$5:$C$24,2,0),""))</f>
        <v/>
      </c>
      <c r="L782" s="9">
        <f>IF(D782="","",IFERROR(VLOOKUP(D782,参数!$A$5:$C$24,3,0),""))</f>
        <v/>
      </c>
      <c r="M782" s="21" t="n"/>
      <c r="N782" s="21" t="n"/>
      <c r="O782" s="21" t="n"/>
    </row>
    <row r="783">
      <c r="A783" s="24" t="n"/>
      <c r="B783" s="21" t="n"/>
      <c r="C783" s="21" t="n"/>
      <c r="D783" s="21" t="n"/>
      <c r="E783" s="21" t="n"/>
      <c r="F783" s="28" t="n"/>
      <c r="G783" s="28" t="n"/>
      <c r="H783" s="26" t="n"/>
      <c r="I783" s="10">
        <f>IF(H783&lt;&gt;"",H783,IF(AND(F783&lt;&gt;"",G783&lt;&gt;""),ROUND((G783-F783)*1440,0),""))</f>
        <v/>
      </c>
      <c r="J783" s="26" t="n"/>
      <c r="K783" s="9">
        <f>IF(D783="","",IFERROR(VLOOKUP(D783,参数!$A$5:$C$24,2,0),""))</f>
        <v/>
      </c>
      <c r="L783" s="9">
        <f>IF(D783="","",IFERROR(VLOOKUP(D783,参数!$A$5:$C$24,3,0),""))</f>
        <v/>
      </c>
      <c r="M783" s="21" t="n"/>
      <c r="N783" s="21" t="n"/>
      <c r="O783" s="21" t="n"/>
    </row>
    <row r="784">
      <c r="A784" s="24" t="n"/>
      <c r="B784" s="21" t="n"/>
      <c r="C784" s="21" t="n"/>
      <c r="D784" s="21" t="n"/>
      <c r="E784" s="21" t="n"/>
      <c r="F784" s="28" t="n"/>
      <c r="G784" s="28" t="n"/>
      <c r="H784" s="26" t="n"/>
      <c r="I784" s="10">
        <f>IF(H784&lt;&gt;"",H784,IF(AND(F784&lt;&gt;"",G784&lt;&gt;""),ROUND((G784-F784)*1440,0),""))</f>
        <v/>
      </c>
      <c r="J784" s="26" t="n"/>
      <c r="K784" s="9">
        <f>IF(D784="","",IFERROR(VLOOKUP(D784,参数!$A$5:$C$24,2,0),""))</f>
        <v/>
      </c>
      <c r="L784" s="9">
        <f>IF(D784="","",IFERROR(VLOOKUP(D784,参数!$A$5:$C$24,3,0),""))</f>
        <v/>
      </c>
      <c r="M784" s="21" t="n"/>
      <c r="N784" s="21" t="n"/>
      <c r="O784" s="21" t="n"/>
    </row>
    <row r="785">
      <c r="A785" s="24" t="n"/>
      <c r="B785" s="21" t="n"/>
      <c r="C785" s="21" t="n"/>
      <c r="D785" s="21" t="n"/>
      <c r="E785" s="21" t="n"/>
      <c r="F785" s="28" t="n"/>
      <c r="G785" s="28" t="n"/>
      <c r="H785" s="26" t="n"/>
      <c r="I785" s="10">
        <f>IF(H785&lt;&gt;"",H785,IF(AND(F785&lt;&gt;"",G785&lt;&gt;""),ROUND((G785-F785)*1440,0),""))</f>
        <v/>
      </c>
      <c r="J785" s="26" t="n"/>
      <c r="K785" s="9">
        <f>IF(D785="","",IFERROR(VLOOKUP(D785,参数!$A$5:$C$24,2,0),""))</f>
        <v/>
      </c>
      <c r="L785" s="9">
        <f>IF(D785="","",IFERROR(VLOOKUP(D785,参数!$A$5:$C$24,3,0),""))</f>
        <v/>
      </c>
      <c r="M785" s="21" t="n"/>
      <c r="N785" s="21" t="n"/>
      <c r="O785" s="21" t="n"/>
    </row>
    <row r="786">
      <c r="A786" s="24" t="n"/>
      <c r="B786" s="21" t="n"/>
      <c r="C786" s="21" t="n"/>
      <c r="D786" s="21" t="n"/>
      <c r="E786" s="21" t="n"/>
      <c r="F786" s="28" t="n"/>
      <c r="G786" s="28" t="n"/>
      <c r="H786" s="26" t="n"/>
      <c r="I786" s="10">
        <f>IF(H786&lt;&gt;"",H786,IF(AND(F786&lt;&gt;"",G786&lt;&gt;""),ROUND((G786-F786)*1440,0),""))</f>
        <v/>
      </c>
      <c r="J786" s="26" t="n"/>
      <c r="K786" s="9">
        <f>IF(D786="","",IFERROR(VLOOKUP(D786,参数!$A$5:$C$24,2,0),""))</f>
        <v/>
      </c>
      <c r="L786" s="9">
        <f>IF(D786="","",IFERROR(VLOOKUP(D786,参数!$A$5:$C$24,3,0),""))</f>
        <v/>
      </c>
      <c r="M786" s="21" t="n"/>
      <c r="N786" s="21" t="n"/>
      <c r="O786" s="21" t="n"/>
    </row>
    <row r="787">
      <c r="A787" s="24" t="n"/>
      <c r="B787" s="21" t="n"/>
      <c r="C787" s="21" t="n"/>
      <c r="D787" s="21" t="n"/>
      <c r="E787" s="21" t="n"/>
      <c r="F787" s="28" t="n"/>
      <c r="G787" s="28" t="n"/>
      <c r="H787" s="26" t="n"/>
      <c r="I787" s="10">
        <f>IF(H787&lt;&gt;"",H787,IF(AND(F787&lt;&gt;"",G787&lt;&gt;""),ROUND((G787-F787)*1440,0),""))</f>
        <v/>
      </c>
      <c r="J787" s="26" t="n"/>
      <c r="K787" s="9">
        <f>IF(D787="","",IFERROR(VLOOKUP(D787,参数!$A$5:$C$24,2,0),""))</f>
        <v/>
      </c>
      <c r="L787" s="9">
        <f>IF(D787="","",IFERROR(VLOOKUP(D787,参数!$A$5:$C$24,3,0),""))</f>
        <v/>
      </c>
      <c r="M787" s="21" t="n"/>
      <c r="N787" s="21" t="n"/>
      <c r="O787" s="21" t="n"/>
    </row>
    <row r="788">
      <c r="A788" s="24" t="n"/>
      <c r="B788" s="21" t="n"/>
      <c r="C788" s="21" t="n"/>
      <c r="D788" s="21" t="n"/>
      <c r="E788" s="21" t="n"/>
      <c r="F788" s="28" t="n"/>
      <c r="G788" s="28" t="n"/>
      <c r="H788" s="26" t="n"/>
      <c r="I788" s="10">
        <f>IF(H788&lt;&gt;"",H788,IF(AND(F788&lt;&gt;"",G788&lt;&gt;""),ROUND((G788-F788)*1440,0),""))</f>
        <v/>
      </c>
      <c r="J788" s="26" t="n"/>
      <c r="K788" s="9">
        <f>IF(D788="","",IFERROR(VLOOKUP(D788,参数!$A$5:$C$24,2,0),""))</f>
        <v/>
      </c>
      <c r="L788" s="9">
        <f>IF(D788="","",IFERROR(VLOOKUP(D788,参数!$A$5:$C$24,3,0),""))</f>
        <v/>
      </c>
      <c r="M788" s="21" t="n"/>
      <c r="N788" s="21" t="n"/>
      <c r="O788" s="21" t="n"/>
    </row>
    <row r="789">
      <c r="A789" s="24" t="n"/>
      <c r="B789" s="21" t="n"/>
      <c r="C789" s="21" t="n"/>
      <c r="D789" s="21" t="n"/>
      <c r="E789" s="21" t="n"/>
      <c r="F789" s="28" t="n"/>
      <c r="G789" s="28" t="n"/>
      <c r="H789" s="26" t="n"/>
      <c r="I789" s="10">
        <f>IF(H789&lt;&gt;"",H789,IF(AND(F789&lt;&gt;"",G789&lt;&gt;""),ROUND((G789-F789)*1440,0),""))</f>
        <v/>
      </c>
      <c r="J789" s="26" t="n"/>
      <c r="K789" s="9">
        <f>IF(D789="","",IFERROR(VLOOKUP(D789,参数!$A$5:$C$24,2,0),""))</f>
        <v/>
      </c>
      <c r="L789" s="9">
        <f>IF(D789="","",IFERROR(VLOOKUP(D789,参数!$A$5:$C$24,3,0),""))</f>
        <v/>
      </c>
      <c r="M789" s="21" t="n"/>
      <c r="N789" s="21" t="n"/>
      <c r="O789" s="21" t="n"/>
    </row>
    <row r="790">
      <c r="A790" s="24" t="n"/>
      <c r="B790" s="21" t="n"/>
      <c r="C790" s="21" t="n"/>
      <c r="D790" s="21" t="n"/>
      <c r="E790" s="21" t="n"/>
      <c r="F790" s="28" t="n"/>
      <c r="G790" s="28" t="n"/>
      <c r="H790" s="26" t="n"/>
      <c r="I790" s="10">
        <f>IF(H790&lt;&gt;"",H790,IF(AND(F790&lt;&gt;"",G790&lt;&gt;""),ROUND((G790-F790)*1440,0),""))</f>
        <v/>
      </c>
      <c r="J790" s="26" t="n"/>
      <c r="K790" s="9">
        <f>IF(D790="","",IFERROR(VLOOKUP(D790,参数!$A$5:$C$24,2,0),""))</f>
        <v/>
      </c>
      <c r="L790" s="9">
        <f>IF(D790="","",IFERROR(VLOOKUP(D790,参数!$A$5:$C$24,3,0),""))</f>
        <v/>
      </c>
      <c r="M790" s="21" t="n"/>
      <c r="N790" s="21" t="n"/>
      <c r="O790" s="21" t="n"/>
    </row>
    <row r="791">
      <c r="A791" s="24" t="n"/>
      <c r="B791" s="21" t="n"/>
      <c r="C791" s="21" t="n"/>
      <c r="D791" s="21" t="n"/>
      <c r="E791" s="21" t="n"/>
      <c r="F791" s="28" t="n"/>
      <c r="G791" s="28" t="n"/>
      <c r="H791" s="26" t="n"/>
      <c r="I791" s="10">
        <f>IF(H791&lt;&gt;"",H791,IF(AND(F791&lt;&gt;"",G791&lt;&gt;""),ROUND((G791-F791)*1440,0),""))</f>
        <v/>
      </c>
      <c r="J791" s="26" t="n"/>
      <c r="K791" s="9">
        <f>IF(D791="","",IFERROR(VLOOKUP(D791,参数!$A$5:$C$24,2,0),""))</f>
        <v/>
      </c>
      <c r="L791" s="9">
        <f>IF(D791="","",IFERROR(VLOOKUP(D791,参数!$A$5:$C$24,3,0),""))</f>
        <v/>
      </c>
      <c r="M791" s="21" t="n"/>
      <c r="N791" s="21" t="n"/>
      <c r="O791" s="21" t="n"/>
    </row>
    <row r="792">
      <c r="A792" s="24" t="n"/>
      <c r="B792" s="21" t="n"/>
      <c r="C792" s="21" t="n"/>
      <c r="D792" s="21" t="n"/>
      <c r="E792" s="21" t="n"/>
      <c r="F792" s="28" t="n"/>
      <c r="G792" s="28" t="n"/>
      <c r="H792" s="26" t="n"/>
      <c r="I792" s="10">
        <f>IF(H792&lt;&gt;"",H792,IF(AND(F792&lt;&gt;"",G792&lt;&gt;""),ROUND((G792-F792)*1440,0),""))</f>
        <v/>
      </c>
      <c r="J792" s="26" t="n"/>
      <c r="K792" s="9">
        <f>IF(D792="","",IFERROR(VLOOKUP(D792,参数!$A$5:$C$24,2,0),""))</f>
        <v/>
      </c>
      <c r="L792" s="9">
        <f>IF(D792="","",IFERROR(VLOOKUP(D792,参数!$A$5:$C$24,3,0),""))</f>
        <v/>
      </c>
      <c r="M792" s="21" t="n"/>
      <c r="N792" s="21" t="n"/>
      <c r="O792" s="21" t="n"/>
    </row>
    <row r="793">
      <c r="A793" s="24" t="n"/>
      <c r="B793" s="21" t="n"/>
      <c r="C793" s="21" t="n"/>
      <c r="D793" s="21" t="n"/>
      <c r="E793" s="21" t="n"/>
      <c r="F793" s="28" t="n"/>
      <c r="G793" s="28" t="n"/>
      <c r="H793" s="26" t="n"/>
      <c r="I793" s="10">
        <f>IF(H793&lt;&gt;"",H793,IF(AND(F793&lt;&gt;"",G793&lt;&gt;""),ROUND((G793-F793)*1440,0),""))</f>
        <v/>
      </c>
      <c r="J793" s="26" t="n"/>
      <c r="K793" s="9">
        <f>IF(D793="","",IFERROR(VLOOKUP(D793,参数!$A$5:$C$24,2,0),""))</f>
        <v/>
      </c>
      <c r="L793" s="9">
        <f>IF(D793="","",IFERROR(VLOOKUP(D793,参数!$A$5:$C$24,3,0),""))</f>
        <v/>
      </c>
      <c r="M793" s="21" t="n"/>
      <c r="N793" s="21" t="n"/>
      <c r="O793" s="21" t="n"/>
    </row>
    <row r="794">
      <c r="A794" s="24" t="n"/>
      <c r="B794" s="21" t="n"/>
      <c r="C794" s="21" t="n"/>
      <c r="D794" s="21" t="n"/>
      <c r="E794" s="21" t="n"/>
      <c r="F794" s="28" t="n"/>
      <c r="G794" s="28" t="n"/>
      <c r="H794" s="26" t="n"/>
      <c r="I794" s="10">
        <f>IF(H794&lt;&gt;"",H794,IF(AND(F794&lt;&gt;"",G794&lt;&gt;""),ROUND((G794-F794)*1440,0),""))</f>
        <v/>
      </c>
      <c r="J794" s="26" t="n"/>
      <c r="K794" s="9">
        <f>IF(D794="","",IFERROR(VLOOKUP(D794,参数!$A$5:$C$24,2,0),""))</f>
        <v/>
      </c>
      <c r="L794" s="9">
        <f>IF(D794="","",IFERROR(VLOOKUP(D794,参数!$A$5:$C$24,3,0),""))</f>
        <v/>
      </c>
      <c r="M794" s="21" t="n"/>
      <c r="N794" s="21" t="n"/>
      <c r="O794" s="21" t="n"/>
    </row>
    <row r="795">
      <c r="A795" s="24" t="n"/>
      <c r="B795" s="21" t="n"/>
      <c r="C795" s="21" t="n"/>
      <c r="D795" s="21" t="n"/>
      <c r="E795" s="21" t="n"/>
      <c r="F795" s="28" t="n"/>
      <c r="G795" s="28" t="n"/>
      <c r="H795" s="26" t="n"/>
      <c r="I795" s="10">
        <f>IF(H795&lt;&gt;"",H795,IF(AND(F795&lt;&gt;"",G795&lt;&gt;""),ROUND((G795-F795)*1440,0),""))</f>
        <v/>
      </c>
      <c r="J795" s="26" t="n"/>
      <c r="K795" s="9">
        <f>IF(D795="","",IFERROR(VLOOKUP(D795,参数!$A$5:$C$24,2,0),""))</f>
        <v/>
      </c>
      <c r="L795" s="9">
        <f>IF(D795="","",IFERROR(VLOOKUP(D795,参数!$A$5:$C$24,3,0),""))</f>
        <v/>
      </c>
      <c r="M795" s="21" t="n"/>
      <c r="N795" s="21" t="n"/>
      <c r="O795" s="21" t="n"/>
    </row>
    <row r="796">
      <c r="A796" s="24" t="n"/>
      <c r="B796" s="21" t="n"/>
      <c r="C796" s="21" t="n"/>
      <c r="D796" s="21" t="n"/>
      <c r="E796" s="21" t="n"/>
      <c r="F796" s="28" t="n"/>
      <c r="G796" s="28" t="n"/>
      <c r="H796" s="26" t="n"/>
      <c r="I796" s="10">
        <f>IF(H796&lt;&gt;"",H796,IF(AND(F796&lt;&gt;"",G796&lt;&gt;""),ROUND((G796-F796)*1440,0),""))</f>
        <v/>
      </c>
      <c r="J796" s="26" t="n"/>
      <c r="K796" s="9">
        <f>IF(D796="","",IFERROR(VLOOKUP(D796,参数!$A$5:$C$24,2,0),""))</f>
        <v/>
      </c>
      <c r="L796" s="9">
        <f>IF(D796="","",IFERROR(VLOOKUP(D796,参数!$A$5:$C$24,3,0),""))</f>
        <v/>
      </c>
      <c r="M796" s="21" t="n"/>
      <c r="N796" s="21" t="n"/>
      <c r="O796" s="21" t="n"/>
    </row>
    <row r="797">
      <c r="A797" s="24" t="n"/>
      <c r="B797" s="21" t="n"/>
      <c r="C797" s="21" t="n"/>
      <c r="D797" s="21" t="n"/>
      <c r="E797" s="21" t="n"/>
      <c r="F797" s="28" t="n"/>
      <c r="G797" s="28" t="n"/>
      <c r="H797" s="26" t="n"/>
      <c r="I797" s="10">
        <f>IF(H797&lt;&gt;"",H797,IF(AND(F797&lt;&gt;"",G797&lt;&gt;""),ROUND((G797-F797)*1440,0),""))</f>
        <v/>
      </c>
      <c r="J797" s="26" t="n"/>
      <c r="K797" s="9">
        <f>IF(D797="","",IFERROR(VLOOKUP(D797,参数!$A$5:$C$24,2,0),""))</f>
        <v/>
      </c>
      <c r="L797" s="9">
        <f>IF(D797="","",IFERROR(VLOOKUP(D797,参数!$A$5:$C$24,3,0),""))</f>
        <v/>
      </c>
      <c r="M797" s="21" t="n"/>
      <c r="N797" s="21" t="n"/>
      <c r="O797" s="21" t="n"/>
    </row>
    <row r="798">
      <c r="A798" s="24" t="n"/>
      <c r="B798" s="21" t="n"/>
      <c r="C798" s="21" t="n"/>
      <c r="D798" s="21" t="n"/>
      <c r="E798" s="21" t="n"/>
      <c r="F798" s="28" t="n"/>
      <c r="G798" s="28" t="n"/>
      <c r="H798" s="26" t="n"/>
      <c r="I798" s="10">
        <f>IF(H798&lt;&gt;"",H798,IF(AND(F798&lt;&gt;"",G798&lt;&gt;""),ROUND((G798-F798)*1440,0),""))</f>
        <v/>
      </c>
      <c r="J798" s="26" t="n"/>
      <c r="K798" s="9">
        <f>IF(D798="","",IFERROR(VLOOKUP(D798,参数!$A$5:$C$24,2,0),""))</f>
        <v/>
      </c>
      <c r="L798" s="9">
        <f>IF(D798="","",IFERROR(VLOOKUP(D798,参数!$A$5:$C$24,3,0),""))</f>
        <v/>
      </c>
      <c r="M798" s="21" t="n"/>
      <c r="N798" s="21" t="n"/>
      <c r="O798" s="21" t="n"/>
    </row>
    <row r="799">
      <c r="A799" s="24" t="n"/>
      <c r="B799" s="21" t="n"/>
      <c r="C799" s="21" t="n"/>
      <c r="D799" s="21" t="n"/>
      <c r="E799" s="21" t="n"/>
      <c r="F799" s="28" t="n"/>
      <c r="G799" s="28" t="n"/>
      <c r="H799" s="26" t="n"/>
      <c r="I799" s="10">
        <f>IF(H799&lt;&gt;"",H799,IF(AND(F799&lt;&gt;"",G799&lt;&gt;""),ROUND((G799-F799)*1440,0),""))</f>
        <v/>
      </c>
      <c r="J799" s="26" t="n"/>
      <c r="K799" s="9">
        <f>IF(D799="","",IFERROR(VLOOKUP(D799,参数!$A$5:$C$24,2,0),""))</f>
        <v/>
      </c>
      <c r="L799" s="9">
        <f>IF(D799="","",IFERROR(VLOOKUP(D799,参数!$A$5:$C$24,3,0),""))</f>
        <v/>
      </c>
      <c r="M799" s="21" t="n"/>
      <c r="N799" s="21" t="n"/>
      <c r="O799" s="21" t="n"/>
    </row>
    <row r="800">
      <c r="A800" s="24" t="n"/>
      <c r="B800" s="21" t="n"/>
      <c r="C800" s="21" t="n"/>
      <c r="D800" s="21" t="n"/>
      <c r="E800" s="21" t="n"/>
      <c r="F800" s="28" t="n"/>
      <c r="G800" s="28" t="n"/>
      <c r="H800" s="26" t="n"/>
      <c r="I800" s="10">
        <f>IF(H800&lt;&gt;"",H800,IF(AND(F800&lt;&gt;"",G800&lt;&gt;""),ROUND((G800-F800)*1440,0),""))</f>
        <v/>
      </c>
      <c r="J800" s="26" t="n"/>
      <c r="K800" s="9">
        <f>IF(D800="","",IFERROR(VLOOKUP(D800,参数!$A$5:$C$24,2,0),""))</f>
        <v/>
      </c>
      <c r="L800" s="9">
        <f>IF(D800="","",IFERROR(VLOOKUP(D800,参数!$A$5:$C$24,3,0),""))</f>
        <v/>
      </c>
      <c r="M800" s="21" t="n"/>
      <c r="N800" s="21" t="n"/>
      <c r="O800" s="21" t="n"/>
    </row>
    <row r="801">
      <c r="A801" s="24" t="n"/>
      <c r="B801" s="21" t="n"/>
      <c r="C801" s="21" t="n"/>
      <c r="D801" s="21" t="n"/>
      <c r="E801" s="21" t="n"/>
      <c r="F801" s="28" t="n"/>
      <c r="G801" s="28" t="n"/>
      <c r="H801" s="26" t="n"/>
      <c r="I801" s="10">
        <f>IF(H801&lt;&gt;"",H801,IF(AND(F801&lt;&gt;"",G801&lt;&gt;""),ROUND((G801-F801)*1440,0),""))</f>
        <v/>
      </c>
      <c r="J801" s="26" t="n"/>
      <c r="K801" s="9">
        <f>IF(D801="","",IFERROR(VLOOKUP(D801,参数!$A$5:$C$24,2,0),""))</f>
        <v/>
      </c>
      <c r="L801" s="9">
        <f>IF(D801="","",IFERROR(VLOOKUP(D801,参数!$A$5:$C$24,3,0),""))</f>
        <v/>
      </c>
      <c r="M801" s="21" t="n"/>
      <c r="N801" s="21" t="n"/>
      <c r="O801" s="21" t="n"/>
    </row>
    <row r="802">
      <c r="A802" s="24" t="n"/>
      <c r="B802" s="21" t="n"/>
      <c r="C802" s="21" t="n"/>
      <c r="D802" s="21" t="n"/>
      <c r="E802" s="21" t="n"/>
      <c r="F802" s="28" t="n"/>
      <c r="G802" s="28" t="n"/>
      <c r="H802" s="26" t="n"/>
      <c r="I802" s="10">
        <f>IF(H802&lt;&gt;"",H802,IF(AND(F802&lt;&gt;"",G802&lt;&gt;""),ROUND((G802-F802)*1440,0),""))</f>
        <v/>
      </c>
      <c r="J802" s="26" t="n"/>
      <c r="K802" s="9">
        <f>IF(D802="","",IFERROR(VLOOKUP(D802,参数!$A$5:$C$24,2,0),""))</f>
        <v/>
      </c>
      <c r="L802" s="9">
        <f>IF(D802="","",IFERROR(VLOOKUP(D802,参数!$A$5:$C$24,3,0),""))</f>
        <v/>
      </c>
      <c r="M802" s="21" t="n"/>
      <c r="N802" s="21" t="n"/>
      <c r="O802" s="21" t="n"/>
    </row>
    <row r="803">
      <c r="A803" s="24" t="n"/>
      <c r="B803" s="21" t="n"/>
      <c r="C803" s="21" t="n"/>
      <c r="D803" s="21" t="n"/>
      <c r="E803" s="21" t="n"/>
      <c r="F803" s="28" t="n"/>
      <c r="G803" s="28" t="n"/>
      <c r="H803" s="26" t="n"/>
      <c r="I803" s="10">
        <f>IF(H803&lt;&gt;"",H803,IF(AND(F803&lt;&gt;"",G803&lt;&gt;""),ROUND((G803-F803)*1440,0),""))</f>
        <v/>
      </c>
      <c r="J803" s="26" t="n"/>
      <c r="K803" s="9">
        <f>IF(D803="","",IFERROR(VLOOKUP(D803,参数!$A$5:$C$24,2,0),""))</f>
        <v/>
      </c>
      <c r="L803" s="9">
        <f>IF(D803="","",IFERROR(VLOOKUP(D803,参数!$A$5:$C$24,3,0),""))</f>
        <v/>
      </c>
      <c r="M803" s="21" t="n"/>
      <c r="N803" s="21" t="n"/>
      <c r="O803" s="21" t="n"/>
    </row>
    <row r="804">
      <c r="A804" s="24" t="n"/>
      <c r="B804" s="21" t="n"/>
      <c r="C804" s="21" t="n"/>
      <c r="D804" s="21" t="n"/>
      <c r="E804" s="21" t="n"/>
      <c r="F804" s="28" t="n"/>
      <c r="G804" s="28" t="n"/>
      <c r="H804" s="26" t="n"/>
      <c r="I804" s="10">
        <f>IF(H804&lt;&gt;"",H804,IF(AND(F804&lt;&gt;"",G804&lt;&gt;""),ROUND((G804-F804)*1440,0),""))</f>
        <v/>
      </c>
      <c r="J804" s="26" t="n"/>
      <c r="K804" s="9">
        <f>IF(D804="","",IFERROR(VLOOKUP(D804,参数!$A$5:$C$24,2,0),""))</f>
        <v/>
      </c>
      <c r="L804" s="9">
        <f>IF(D804="","",IFERROR(VLOOKUP(D804,参数!$A$5:$C$24,3,0),""))</f>
        <v/>
      </c>
      <c r="M804" s="21" t="n"/>
      <c r="N804" s="21" t="n"/>
      <c r="O804" s="21" t="n"/>
    </row>
    <row r="805">
      <c r="A805" s="24" t="n"/>
      <c r="B805" s="21" t="n"/>
      <c r="C805" s="21" t="n"/>
      <c r="D805" s="21" t="n"/>
      <c r="E805" s="21" t="n"/>
      <c r="F805" s="28" t="n"/>
      <c r="G805" s="28" t="n"/>
      <c r="H805" s="26" t="n"/>
      <c r="I805" s="10">
        <f>IF(H805&lt;&gt;"",H805,IF(AND(F805&lt;&gt;"",G805&lt;&gt;""),ROUND((G805-F805)*1440,0),""))</f>
        <v/>
      </c>
      <c r="J805" s="26" t="n"/>
      <c r="K805" s="9">
        <f>IF(D805="","",IFERROR(VLOOKUP(D805,参数!$A$5:$C$24,2,0),""))</f>
        <v/>
      </c>
      <c r="L805" s="9">
        <f>IF(D805="","",IFERROR(VLOOKUP(D805,参数!$A$5:$C$24,3,0),""))</f>
        <v/>
      </c>
      <c r="M805" s="21" t="n"/>
      <c r="N805" s="21" t="n"/>
      <c r="O805" s="21" t="n"/>
    </row>
    <row r="806">
      <c r="A806" s="24" t="n"/>
      <c r="B806" s="21" t="n"/>
      <c r="C806" s="21" t="n"/>
      <c r="D806" s="21" t="n"/>
      <c r="E806" s="21" t="n"/>
      <c r="F806" s="28" t="n"/>
      <c r="G806" s="28" t="n"/>
      <c r="H806" s="26" t="n"/>
      <c r="I806" s="10">
        <f>IF(H806&lt;&gt;"",H806,IF(AND(F806&lt;&gt;"",G806&lt;&gt;""),ROUND((G806-F806)*1440,0),""))</f>
        <v/>
      </c>
      <c r="J806" s="26" t="n"/>
      <c r="K806" s="9">
        <f>IF(D806="","",IFERROR(VLOOKUP(D806,参数!$A$5:$C$24,2,0),""))</f>
        <v/>
      </c>
      <c r="L806" s="9">
        <f>IF(D806="","",IFERROR(VLOOKUP(D806,参数!$A$5:$C$24,3,0),""))</f>
        <v/>
      </c>
      <c r="M806" s="21" t="n"/>
      <c r="N806" s="21" t="n"/>
      <c r="O806" s="21" t="n"/>
    </row>
    <row r="807">
      <c r="A807" s="24" t="n"/>
      <c r="B807" s="21" t="n"/>
      <c r="C807" s="21" t="n"/>
      <c r="D807" s="21" t="n"/>
      <c r="E807" s="21" t="n"/>
      <c r="F807" s="28" t="n"/>
      <c r="G807" s="28" t="n"/>
      <c r="H807" s="26" t="n"/>
      <c r="I807" s="10">
        <f>IF(H807&lt;&gt;"",H807,IF(AND(F807&lt;&gt;"",G807&lt;&gt;""),ROUND((G807-F807)*1440,0),""))</f>
        <v/>
      </c>
      <c r="J807" s="26" t="n"/>
      <c r="K807" s="9">
        <f>IF(D807="","",IFERROR(VLOOKUP(D807,参数!$A$5:$C$24,2,0),""))</f>
        <v/>
      </c>
      <c r="L807" s="9">
        <f>IF(D807="","",IFERROR(VLOOKUP(D807,参数!$A$5:$C$24,3,0),""))</f>
        <v/>
      </c>
      <c r="M807" s="21" t="n"/>
      <c r="N807" s="21" t="n"/>
      <c r="O807" s="21" t="n"/>
    </row>
    <row r="808">
      <c r="A808" s="24" t="n"/>
      <c r="B808" s="21" t="n"/>
      <c r="C808" s="21" t="n"/>
      <c r="D808" s="21" t="n"/>
      <c r="E808" s="21" t="n"/>
      <c r="F808" s="28" t="n"/>
      <c r="G808" s="28" t="n"/>
      <c r="H808" s="26" t="n"/>
      <c r="I808" s="10">
        <f>IF(H808&lt;&gt;"",H808,IF(AND(F808&lt;&gt;"",G808&lt;&gt;""),ROUND((G808-F808)*1440,0),""))</f>
        <v/>
      </c>
      <c r="J808" s="26" t="n"/>
      <c r="K808" s="9">
        <f>IF(D808="","",IFERROR(VLOOKUP(D808,参数!$A$5:$C$24,2,0),""))</f>
        <v/>
      </c>
      <c r="L808" s="9">
        <f>IF(D808="","",IFERROR(VLOOKUP(D808,参数!$A$5:$C$24,3,0),""))</f>
        <v/>
      </c>
      <c r="M808" s="21" t="n"/>
      <c r="N808" s="21" t="n"/>
      <c r="O808" s="21" t="n"/>
    </row>
    <row r="809">
      <c r="A809" s="24" t="n"/>
      <c r="B809" s="21" t="n"/>
      <c r="C809" s="21" t="n"/>
      <c r="D809" s="21" t="n"/>
      <c r="E809" s="21" t="n"/>
      <c r="F809" s="28" t="n"/>
      <c r="G809" s="28" t="n"/>
      <c r="H809" s="26" t="n"/>
      <c r="I809" s="10">
        <f>IF(H809&lt;&gt;"",H809,IF(AND(F809&lt;&gt;"",G809&lt;&gt;""),ROUND((G809-F809)*1440,0),""))</f>
        <v/>
      </c>
      <c r="J809" s="26" t="n"/>
      <c r="K809" s="9">
        <f>IF(D809="","",IFERROR(VLOOKUP(D809,参数!$A$5:$C$24,2,0),""))</f>
        <v/>
      </c>
      <c r="L809" s="9">
        <f>IF(D809="","",IFERROR(VLOOKUP(D809,参数!$A$5:$C$24,3,0),""))</f>
        <v/>
      </c>
      <c r="M809" s="21" t="n"/>
      <c r="N809" s="21" t="n"/>
      <c r="O809" s="21" t="n"/>
    </row>
    <row r="810">
      <c r="A810" s="24" t="n"/>
      <c r="B810" s="21" t="n"/>
      <c r="C810" s="21" t="n"/>
      <c r="D810" s="21" t="n"/>
      <c r="E810" s="21" t="n"/>
      <c r="F810" s="28" t="n"/>
      <c r="G810" s="28" t="n"/>
      <c r="H810" s="26" t="n"/>
      <c r="I810" s="10">
        <f>IF(H810&lt;&gt;"",H810,IF(AND(F810&lt;&gt;"",G810&lt;&gt;""),ROUND((G810-F810)*1440,0),""))</f>
        <v/>
      </c>
      <c r="J810" s="26" t="n"/>
      <c r="K810" s="9">
        <f>IF(D810="","",IFERROR(VLOOKUP(D810,参数!$A$5:$C$24,2,0),""))</f>
        <v/>
      </c>
      <c r="L810" s="9">
        <f>IF(D810="","",IFERROR(VLOOKUP(D810,参数!$A$5:$C$24,3,0),""))</f>
        <v/>
      </c>
      <c r="M810" s="21" t="n"/>
      <c r="N810" s="21" t="n"/>
      <c r="O810" s="21" t="n"/>
    </row>
    <row r="811">
      <c r="A811" s="24" t="n"/>
      <c r="B811" s="21" t="n"/>
      <c r="C811" s="21" t="n"/>
      <c r="D811" s="21" t="n"/>
      <c r="E811" s="21" t="n"/>
      <c r="F811" s="28" t="n"/>
      <c r="G811" s="28" t="n"/>
      <c r="H811" s="26" t="n"/>
      <c r="I811" s="10">
        <f>IF(H811&lt;&gt;"",H811,IF(AND(F811&lt;&gt;"",G811&lt;&gt;""),ROUND((G811-F811)*1440,0),""))</f>
        <v/>
      </c>
      <c r="J811" s="26" t="n"/>
      <c r="K811" s="9">
        <f>IF(D811="","",IFERROR(VLOOKUP(D811,参数!$A$5:$C$24,2,0),""))</f>
        <v/>
      </c>
      <c r="L811" s="9">
        <f>IF(D811="","",IFERROR(VLOOKUP(D811,参数!$A$5:$C$24,3,0),""))</f>
        <v/>
      </c>
      <c r="M811" s="21" t="n"/>
      <c r="N811" s="21" t="n"/>
      <c r="O811" s="21" t="n"/>
    </row>
    <row r="812">
      <c r="A812" s="24" t="n"/>
      <c r="B812" s="21" t="n"/>
      <c r="C812" s="21" t="n"/>
      <c r="D812" s="21" t="n"/>
      <c r="E812" s="21" t="n"/>
      <c r="F812" s="28" t="n"/>
      <c r="G812" s="28" t="n"/>
      <c r="H812" s="26" t="n"/>
      <c r="I812" s="10">
        <f>IF(H812&lt;&gt;"",H812,IF(AND(F812&lt;&gt;"",G812&lt;&gt;""),ROUND((G812-F812)*1440,0),""))</f>
        <v/>
      </c>
      <c r="J812" s="26" t="n"/>
      <c r="K812" s="9">
        <f>IF(D812="","",IFERROR(VLOOKUP(D812,参数!$A$5:$C$24,2,0),""))</f>
        <v/>
      </c>
      <c r="L812" s="9">
        <f>IF(D812="","",IFERROR(VLOOKUP(D812,参数!$A$5:$C$24,3,0),""))</f>
        <v/>
      </c>
      <c r="M812" s="21" t="n"/>
      <c r="N812" s="21" t="n"/>
      <c r="O812" s="21" t="n"/>
    </row>
    <row r="813">
      <c r="A813" s="24" t="n"/>
      <c r="B813" s="21" t="n"/>
      <c r="C813" s="21" t="n"/>
      <c r="D813" s="21" t="n"/>
      <c r="E813" s="21" t="n"/>
      <c r="F813" s="28" t="n"/>
      <c r="G813" s="28" t="n"/>
      <c r="H813" s="26" t="n"/>
      <c r="I813" s="10">
        <f>IF(H813&lt;&gt;"",H813,IF(AND(F813&lt;&gt;"",G813&lt;&gt;""),ROUND((G813-F813)*1440,0),""))</f>
        <v/>
      </c>
      <c r="J813" s="26" t="n"/>
      <c r="K813" s="9">
        <f>IF(D813="","",IFERROR(VLOOKUP(D813,参数!$A$5:$C$24,2,0),""))</f>
        <v/>
      </c>
      <c r="L813" s="9">
        <f>IF(D813="","",IFERROR(VLOOKUP(D813,参数!$A$5:$C$24,3,0),""))</f>
        <v/>
      </c>
      <c r="M813" s="21" t="n"/>
      <c r="N813" s="21" t="n"/>
      <c r="O813" s="21" t="n"/>
    </row>
    <row r="814">
      <c r="A814" s="24" t="n"/>
      <c r="B814" s="21" t="n"/>
      <c r="C814" s="21" t="n"/>
      <c r="D814" s="21" t="n"/>
      <c r="E814" s="21" t="n"/>
      <c r="F814" s="28" t="n"/>
      <c r="G814" s="28" t="n"/>
      <c r="H814" s="26" t="n"/>
      <c r="I814" s="10">
        <f>IF(H814&lt;&gt;"",H814,IF(AND(F814&lt;&gt;"",G814&lt;&gt;""),ROUND((G814-F814)*1440,0),""))</f>
        <v/>
      </c>
      <c r="J814" s="26" t="n"/>
      <c r="K814" s="9">
        <f>IF(D814="","",IFERROR(VLOOKUP(D814,参数!$A$5:$C$24,2,0),""))</f>
        <v/>
      </c>
      <c r="L814" s="9">
        <f>IF(D814="","",IFERROR(VLOOKUP(D814,参数!$A$5:$C$24,3,0),""))</f>
        <v/>
      </c>
      <c r="M814" s="21" t="n"/>
      <c r="N814" s="21" t="n"/>
      <c r="O814" s="21" t="n"/>
    </row>
    <row r="815">
      <c r="A815" s="24" t="n"/>
      <c r="B815" s="21" t="n"/>
      <c r="C815" s="21" t="n"/>
      <c r="D815" s="21" t="n"/>
      <c r="E815" s="21" t="n"/>
      <c r="F815" s="28" t="n"/>
      <c r="G815" s="28" t="n"/>
      <c r="H815" s="26" t="n"/>
      <c r="I815" s="10">
        <f>IF(H815&lt;&gt;"",H815,IF(AND(F815&lt;&gt;"",G815&lt;&gt;""),ROUND((G815-F815)*1440,0),""))</f>
        <v/>
      </c>
      <c r="J815" s="26" t="n"/>
      <c r="K815" s="9">
        <f>IF(D815="","",IFERROR(VLOOKUP(D815,参数!$A$5:$C$24,2,0),""))</f>
        <v/>
      </c>
      <c r="L815" s="9">
        <f>IF(D815="","",IFERROR(VLOOKUP(D815,参数!$A$5:$C$24,3,0),""))</f>
        <v/>
      </c>
      <c r="M815" s="21" t="n"/>
      <c r="N815" s="21" t="n"/>
      <c r="O815" s="21" t="n"/>
    </row>
    <row r="816">
      <c r="A816" s="24" t="n"/>
      <c r="B816" s="21" t="n"/>
      <c r="C816" s="21" t="n"/>
      <c r="D816" s="21" t="n"/>
      <c r="E816" s="21" t="n"/>
      <c r="F816" s="28" t="n"/>
      <c r="G816" s="28" t="n"/>
      <c r="H816" s="26" t="n"/>
      <c r="I816" s="10">
        <f>IF(H816&lt;&gt;"",H816,IF(AND(F816&lt;&gt;"",G816&lt;&gt;""),ROUND((G816-F816)*1440,0),""))</f>
        <v/>
      </c>
      <c r="J816" s="26" t="n"/>
      <c r="K816" s="9">
        <f>IF(D816="","",IFERROR(VLOOKUP(D816,参数!$A$5:$C$24,2,0),""))</f>
        <v/>
      </c>
      <c r="L816" s="9">
        <f>IF(D816="","",IFERROR(VLOOKUP(D816,参数!$A$5:$C$24,3,0),""))</f>
        <v/>
      </c>
      <c r="M816" s="21" t="n"/>
      <c r="N816" s="21" t="n"/>
      <c r="O816" s="21" t="n"/>
    </row>
    <row r="817">
      <c r="A817" s="24" t="n"/>
      <c r="B817" s="21" t="n"/>
      <c r="C817" s="21" t="n"/>
      <c r="D817" s="21" t="n"/>
      <c r="E817" s="21" t="n"/>
      <c r="F817" s="28" t="n"/>
      <c r="G817" s="28" t="n"/>
      <c r="H817" s="26" t="n"/>
      <c r="I817" s="10">
        <f>IF(H817&lt;&gt;"",H817,IF(AND(F817&lt;&gt;"",G817&lt;&gt;""),ROUND((G817-F817)*1440,0),""))</f>
        <v/>
      </c>
      <c r="J817" s="26" t="n"/>
      <c r="K817" s="9">
        <f>IF(D817="","",IFERROR(VLOOKUP(D817,参数!$A$5:$C$24,2,0),""))</f>
        <v/>
      </c>
      <c r="L817" s="9">
        <f>IF(D817="","",IFERROR(VLOOKUP(D817,参数!$A$5:$C$24,3,0),""))</f>
        <v/>
      </c>
      <c r="M817" s="21" t="n"/>
      <c r="N817" s="21" t="n"/>
      <c r="O817" s="21" t="n"/>
    </row>
    <row r="818">
      <c r="A818" s="24" t="n"/>
      <c r="B818" s="21" t="n"/>
      <c r="C818" s="21" t="n"/>
      <c r="D818" s="21" t="n"/>
      <c r="E818" s="21" t="n"/>
      <c r="F818" s="28" t="n"/>
      <c r="G818" s="28" t="n"/>
      <c r="H818" s="26" t="n"/>
      <c r="I818" s="10">
        <f>IF(H818&lt;&gt;"",H818,IF(AND(F818&lt;&gt;"",G818&lt;&gt;""),ROUND((G818-F818)*1440,0),""))</f>
        <v/>
      </c>
      <c r="J818" s="26" t="n"/>
      <c r="K818" s="9">
        <f>IF(D818="","",IFERROR(VLOOKUP(D818,参数!$A$5:$C$24,2,0),""))</f>
        <v/>
      </c>
      <c r="L818" s="9">
        <f>IF(D818="","",IFERROR(VLOOKUP(D818,参数!$A$5:$C$24,3,0),""))</f>
        <v/>
      </c>
      <c r="M818" s="21" t="n"/>
      <c r="N818" s="21" t="n"/>
      <c r="O818" s="21" t="n"/>
    </row>
    <row r="819">
      <c r="A819" s="24" t="n"/>
      <c r="B819" s="21" t="n"/>
      <c r="C819" s="21" t="n"/>
      <c r="D819" s="21" t="n"/>
      <c r="E819" s="21" t="n"/>
      <c r="F819" s="28" t="n"/>
      <c r="G819" s="28" t="n"/>
      <c r="H819" s="26" t="n"/>
      <c r="I819" s="10">
        <f>IF(H819&lt;&gt;"",H819,IF(AND(F819&lt;&gt;"",G819&lt;&gt;""),ROUND((G819-F819)*1440,0),""))</f>
        <v/>
      </c>
      <c r="J819" s="26" t="n"/>
      <c r="K819" s="9">
        <f>IF(D819="","",IFERROR(VLOOKUP(D819,参数!$A$5:$C$24,2,0),""))</f>
        <v/>
      </c>
      <c r="L819" s="9">
        <f>IF(D819="","",IFERROR(VLOOKUP(D819,参数!$A$5:$C$24,3,0),""))</f>
        <v/>
      </c>
      <c r="M819" s="21" t="n"/>
      <c r="N819" s="21" t="n"/>
      <c r="O819" s="21" t="n"/>
    </row>
    <row r="820">
      <c r="A820" s="24" t="n"/>
      <c r="B820" s="21" t="n"/>
      <c r="C820" s="21" t="n"/>
      <c r="D820" s="21" t="n"/>
      <c r="E820" s="21" t="n"/>
      <c r="F820" s="28" t="n"/>
      <c r="G820" s="28" t="n"/>
      <c r="H820" s="26" t="n"/>
      <c r="I820" s="10">
        <f>IF(H820&lt;&gt;"",H820,IF(AND(F820&lt;&gt;"",G820&lt;&gt;""),ROUND((G820-F820)*1440,0),""))</f>
        <v/>
      </c>
      <c r="J820" s="26" t="n"/>
      <c r="K820" s="9">
        <f>IF(D820="","",IFERROR(VLOOKUP(D820,参数!$A$5:$C$24,2,0),""))</f>
        <v/>
      </c>
      <c r="L820" s="9">
        <f>IF(D820="","",IFERROR(VLOOKUP(D820,参数!$A$5:$C$24,3,0),""))</f>
        <v/>
      </c>
      <c r="M820" s="21" t="n"/>
      <c r="N820" s="21" t="n"/>
      <c r="O820" s="21" t="n"/>
    </row>
    <row r="821">
      <c r="A821" s="24" t="n"/>
      <c r="B821" s="21" t="n"/>
      <c r="C821" s="21" t="n"/>
      <c r="D821" s="21" t="n"/>
      <c r="E821" s="21" t="n"/>
      <c r="F821" s="28" t="n"/>
      <c r="G821" s="28" t="n"/>
      <c r="H821" s="26" t="n"/>
      <c r="I821" s="10">
        <f>IF(H821&lt;&gt;"",H821,IF(AND(F821&lt;&gt;"",G821&lt;&gt;""),ROUND((G821-F821)*1440,0),""))</f>
        <v/>
      </c>
      <c r="J821" s="26" t="n"/>
      <c r="K821" s="9">
        <f>IF(D821="","",IFERROR(VLOOKUP(D821,参数!$A$5:$C$24,2,0),""))</f>
        <v/>
      </c>
      <c r="L821" s="9">
        <f>IF(D821="","",IFERROR(VLOOKUP(D821,参数!$A$5:$C$24,3,0),""))</f>
        <v/>
      </c>
      <c r="M821" s="21" t="n"/>
      <c r="N821" s="21" t="n"/>
      <c r="O821" s="21" t="n"/>
    </row>
    <row r="822">
      <c r="A822" s="24" t="n"/>
      <c r="B822" s="21" t="n"/>
      <c r="C822" s="21" t="n"/>
      <c r="D822" s="21" t="n"/>
      <c r="E822" s="21" t="n"/>
      <c r="F822" s="28" t="n"/>
      <c r="G822" s="28" t="n"/>
      <c r="H822" s="26" t="n"/>
      <c r="I822" s="10">
        <f>IF(H822&lt;&gt;"",H822,IF(AND(F822&lt;&gt;"",G822&lt;&gt;""),ROUND((G822-F822)*1440,0),""))</f>
        <v/>
      </c>
      <c r="J822" s="26" t="n"/>
      <c r="K822" s="9">
        <f>IF(D822="","",IFERROR(VLOOKUP(D822,参数!$A$5:$C$24,2,0),""))</f>
        <v/>
      </c>
      <c r="L822" s="9">
        <f>IF(D822="","",IFERROR(VLOOKUP(D822,参数!$A$5:$C$24,3,0),""))</f>
        <v/>
      </c>
      <c r="M822" s="21" t="n"/>
      <c r="N822" s="21" t="n"/>
      <c r="O822" s="21" t="n"/>
    </row>
    <row r="823">
      <c r="A823" s="24" t="n"/>
      <c r="B823" s="21" t="n"/>
      <c r="C823" s="21" t="n"/>
      <c r="D823" s="21" t="n"/>
      <c r="E823" s="21" t="n"/>
      <c r="F823" s="28" t="n"/>
      <c r="G823" s="28" t="n"/>
      <c r="H823" s="26" t="n"/>
      <c r="I823" s="10">
        <f>IF(H823&lt;&gt;"",H823,IF(AND(F823&lt;&gt;"",G823&lt;&gt;""),ROUND((G823-F823)*1440,0),""))</f>
        <v/>
      </c>
      <c r="J823" s="26" t="n"/>
      <c r="K823" s="9">
        <f>IF(D823="","",IFERROR(VLOOKUP(D823,参数!$A$5:$C$24,2,0),""))</f>
        <v/>
      </c>
      <c r="L823" s="9">
        <f>IF(D823="","",IFERROR(VLOOKUP(D823,参数!$A$5:$C$24,3,0),""))</f>
        <v/>
      </c>
      <c r="M823" s="21" t="n"/>
      <c r="N823" s="21" t="n"/>
      <c r="O823" s="21" t="n"/>
    </row>
    <row r="824">
      <c r="A824" s="24" t="n"/>
      <c r="B824" s="21" t="n"/>
      <c r="C824" s="21" t="n"/>
      <c r="D824" s="21" t="n"/>
      <c r="E824" s="21" t="n"/>
      <c r="F824" s="28" t="n"/>
      <c r="G824" s="28" t="n"/>
      <c r="H824" s="26" t="n"/>
      <c r="I824" s="10">
        <f>IF(H824&lt;&gt;"",H824,IF(AND(F824&lt;&gt;"",G824&lt;&gt;""),ROUND((G824-F824)*1440,0),""))</f>
        <v/>
      </c>
      <c r="J824" s="26" t="n"/>
      <c r="K824" s="9">
        <f>IF(D824="","",IFERROR(VLOOKUP(D824,参数!$A$5:$C$24,2,0),""))</f>
        <v/>
      </c>
      <c r="L824" s="9">
        <f>IF(D824="","",IFERROR(VLOOKUP(D824,参数!$A$5:$C$24,3,0),""))</f>
        <v/>
      </c>
      <c r="M824" s="21" t="n"/>
      <c r="N824" s="21" t="n"/>
      <c r="O824" s="21" t="n"/>
    </row>
    <row r="825">
      <c r="A825" s="24" t="n"/>
      <c r="B825" s="21" t="n"/>
      <c r="C825" s="21" t="n"/>
      <c r="D825" s="21" t="n"/>
      <c r="E825" s="21" t="n"/>
      <c r="F825" s="28" t="n"/>
      <c r="G825" s="28" t="n"/>
      <c r="H825" s="26" t="n"/>
      <c r="I825" s="10">
        <f>IF(H825&lt;&gt;"",H825,IF(AND(F825&lt;&gt;"",G825&lt;&gt;""),ROUND((G825-F825)*1440,0),""))</f>
        <v/>
      </c>
      <c r="J825" s="26" t="n"/>
      <c r="K825" s="9">
        <f>IF(D825="","",IFERROR(VLOOKUP(D825,参数!$A$5:$C$24,2,0),""))</f>
        <v/>
      </c>
      <c r="L825" s="9">
        <f>IF(D825="","",IFERROR(VLOOKUP(D825,参数!$A$5:$C$24,3,0),""))</f>
        <v/>
      </c>
      <c r="M825" s="21" t="n"/>
      <c r="N825" s="21" t="n"/>
      <c r="O825" s="21" t="n"/>
    </row>
    <row r="826">
      <c r="A826" s="24" t="n"/>
      <c r="B826" s="21" t="n"/>
      <c r="C826" s="21" t="n"/>
      <c r="D826" s="21" t="n"/>
      <c r="E826" s="21" t="n"/>
      <c r="F826" s="28" t="n"/>
      <c r="G826" s="28" t="n"/>
      <c r="H826" s="26" t="n"/>
      <c r="I826" s="10">
        <f>IF(H826&lt;&gt;"",H826,IF(AND(F826&lt;&gt;"",G826&lt;&gt;""),ROUND((G826-F826)*1440,0),""))</f>
        <v/>
      </c>
      <c r="J826" s="26" t="n"/>
      <c r="K826" s="9">
        <f>IF(D826="","",IFERROR(VLOOKUP(D826,参数!$A$5:$C$24,2,0),""))</f>
        <v/>
      </c>
      <c r="L826" s="9">
        <f>IF(D826="","",IFERROR(VLOOKUP(D826,参数!$A$5:$C$24,3,0),""))</f>
        <v/>
      </c>
      <c r="M826" s="21" t="n"/>
      <c r="N826" s="21" t="n"/>
      <c r="O826" s="21" t="n"/>
    </row>
    <row r="827">
      <c r="A827" s="24" t="n"/>
      <c r="B827" s="21" t="n"/>
      <c r="C827" s="21" t="n"/>
      <c r="D827" s="21" t="n"/>
      <c r="E827" s="21" t="n"/>
      <c r="F827" s="28" t="n"/>
      <c r="G827" s="28" t="n"/>
      <c r="H827" s="26" t="n"/>
      <c r="I827" s="10">
        <f>IF(H827&lt;&gt;"",H827,IF(AND(F827&lt;&gt;"",G827&lt;&gt;""),ROUND((G827-F827)*1440,0),""))</f>
        <v/>
      </c>
      <c r="J827" s="26" t="n"/>
      <c r="K827" s="9">
        <f>IF(D827="","",IFERROR(VLOOKUP(D827,参数!$A$5:$C$24,2,0),""))</f>
        <v/>
      </c>
      <c r="L827" s="9">
        <f>IF(D827="","",IFERROR(VLOOKUP(D827,参数!$A$5:$C$24,3,0),""))</f>
        <v/>
      </c>
      <c r="M827" s="21" t="n"/>
      <c r="N827" s="21" t="n"/>
      <c r="O827" s="21" t="n"/>
    </row>
    <row r="828">
      <c r="A828" s="24" t="n"/>
      <c r="B828" s="21" t="n"/>
      <c r="C828" s="21" t="n"/>
      <c r="D828" s="21" t="n"/>
      <c r="E828" s="21" t="n"/>
      <c r="F828" s="28" t="n"/>
      <c r="G828" s="28" t="n"/>
      <c r="H828" s="26" t="n"/>
      <c r="I828" s="10">
        <f>IF(H828&lt;&gt;"",H828,IF(AND(F828&lt;&gt;"",G828&lt;&gt;""),ROUND((G828-F828)*1440,0),""))</f>
        <v/>
      </c>
      <c r="J828" s="26" t="n"/>
      <c r="K828" s="9">
        <f>IF(D828="","",IFERROR(VLOOKUP(D828,参数!$A$5:$C$24,2,0),""))</f>
        <v/>
      </c>
      <c r="L828" s="9">
        <f>IF(D828="","",IFERROR(VLOOKUP(D828,参数!$A$5:$C$24,3,0),""))</f>
        <v/>
      </c>
      <c r="M828" s="21" t="n"/>
      <c r="N828" s="21" t="n"/>
      <c r="O828" s="21" t="n"/>
    </row>
    <row r="829">
      <c r="A829" s="24" t="n"/>
      <c r="B829" s="21" t="n"/>
      <c r="C829" s="21" t="n"/>
      <c r="D829" s="21" t="n"/>
      <c r="E829" s="21" t="n"/>
      <c r="F829" s="28" t="n"/>
      <c r="G829" s="28" t="n"/>
      <c r="H829" s="26" t="n"/>
      <c r="I829" s="10">
        <f>IF(H829&lt;&gt;"",H829,IF(AND(F829&lt;&gt;"",G829&lt;&gt;""),ROUND((G829-F829)*1440,0),""))</f>
        <v/>
      </c>
      <c r="J829" s="26" t="n"/>
      <c r="K829" s="9">
        <f>IF(D829="","",IFERROR(VLOOKUP(D829,参数!$A$5:$C$24,2,0),""))</f>
        <v/>
      </c>
      <c r="L829" s="9">
        <f>IF(D829="","",IFERROR(VLOOKUP(D829,参数!$A$5:$C$24,3,0),""))</f>
        <v/>
      </c>
      <c r="M829" s="21" t="n"/>
      <c r="N829" s="21" t="n"/>
      <c r="O829" s="21" t="n"/>
    </row>
    <row r="830">
      <c r="A830" s="24" t="n"/>
      <c r="B830" s="21" t="n"/>
      <c r="C830" s="21" t="n"/>
      <c r="D830" s="21" t="n"/>
      <c r="E830" s="21" t="n"/>
      <c r="F830" s="28" t="n"/>
      <c r="G830" s="28" t="n"/>
      <c r="H830" s="26" t="n"/>
      <c r="I830" s="10">
        <f>IF(H830&lt;&gt;"",H830,IF(AND(F830&lt;&gt;"",G830&lt;&gt;""),ROUND((G830-F830)*1440,0),""))</f>
        <v/>
      </c>
      <c r="J830" s="26" t="n"/>
      <c r="K830" s="9">
        <f>IF(D830="","",IFERROR(VLOOKUP(D830,参数!$A$5:$C$24,2,0),""))</f>
        <v/>
      </c>
      <c r="L830" s="9">
        <f>IF(D830="","",IFERROR(VLOOKUP(D830,参数!$A$5:$C$24,3,0),""))</f>
        <v/>
      </c>
      <c r="M830" s="21" t="n"/>
      <c r="N830" s="21" t="n"/>
      <c r="O830" s="21" t="n"/>
    </row>
    <row r="831">
      <c r="A831" s="24" t="n"/>
      <c r="B831" s="21" t="n"/>
      <c r="C831" s="21" t="n"/>
      <c r="D831" s="21" t="n"/>
      <c r="E831" s="21" t="n"/>
      <c r="F831" s="28" t="n"/>
      <c r="G831" s="28" t="n"/>
      <c r="H831" s="26" t="n"/>
      <c r="I831" s="10">
        <f>IF(H831&lt;&gt;"",H831,IF(AND(F831&lt;&gt;"",G831&lt;&gt;""),ROUND((G831-F831)*1440,0),""))</f>
        <v/>
      </c>
      <c r="J831" s="26" t="n"/>
      <c r="K831" s="9">
        <f>IF(D831="","",IFERROR(VLOOKUP(D831,参数!$A$5:$C$24,2,0),""))</f>
        <v/>
      </c>
      <c r="L831" s="9">
        <f>IF(D831="","",IFERROR(VLOOKUP(D831,参数!$A$5:$C$24,3,0),""))</f>
        <v/>
      </c>
      <c r="M831" s="21" t="n"/>
      <c r="N831" s="21" t="n"/>
      <c r="O831" s="21" t="n"/>
    </row>
    <row r="832">
      <c r="A832" s="24" t="n"/>
      <c r="B832" s="21" t="n"/>
      <c r="C832" s="21" t="n"/>
      <c r="D832" s="21" t="n"/>
      <c r="E832" s="21" t="n"/>
      <c r="F832" s="28" t="n"/>
      <c r="G832" s="28" t="n"/>
      <c r="H832" s="26" t="n"/>
      <c r="I832" s="10">
        <f>IF(H832&lt;&gt;"",H832,IF(AND(F832&lt;&gt;"",G832&lt;&gt;""),ROUND((G832-F832)*1440,0),""))</f>
        <v/>
      </c>
      <c r="J832" s="26" t="n"/>
      <c r="K832" s="9">
        <f>IF(D832="","",IFERROR(VLOOKUP(D832,参数!$A$5:$C$24,2,0),""))</f>
        <v/>
      </c>
      <c r="L832" s="9">
        <f>IF(D832="","",IFERROR(VLOOKUP(D832,参数!$A$5:$C$24,3,0),""))</f>
        <v/>
      </c>
      <c r="M832" s="21" t="n"/>
      <c r="N832" s="21" t="n"/>
      <c r="O832" s="21" t="n"/>
    </row>
    <row r="833">
      <c r="A833" s="24" t="n"/>
      <c r="B833" s="21" t="n"/>
      <c r="C833" s="21" t="n"/>
      <c r="D833" s="21" t="n"/>
      <c r="E833" s="21" t="n"/>
      <c r="F833" s="28" t="n"/>
      <c r="G833" s="28" t="n"/>
      <c r="H833" s="26" t="n"/>
      <c r="I833" s="10">
        <f>IF(H833&lt;&gt;"",H833,IF(AND(F833&lt;&gt;"",G833&lt;&gt;""),ROUND((G833-F833)*1440,0),""))</f>
        <v/>
      </c>
      <c r="J833" s="26" t="n"/>
      <c r="K833" s="9">
        <f>IF(D833="","",IFERROR(VLOOKUP(D833,参数!$A$5:$C$24,2,0),""))</f>
        <v/>
      </c>
      <c r="L833" s="9">
        <f>IF(D833="","",IFERROR(VLOOKUP(D833,参数!$A$5:$C$24,3,0),""))</f>
        <v/>
      </c>
      <c r="M833" s="21" t="n"/>
      <c r="N833" s="21" t="n"/>
      <c r="O833" s="21" t="n"/>
    </row>
    <row r="834">
      <c r="A834" s="24" t="n"/>
      <c r="B834" s="21" t="n"/>
      <c r="C834" s="21" t="n"/>
      <c r="D834" s="21" t="n"/>
      <c r="E834" s="21" t="n"/>
      <c r="F834" s="28" t="n"/>
      <c r="G834" s="28" t="n"/>
      <c r="H834" s="26" t="n"/>
      <c r="I834" s="10">
        <f>IF(H834&lt;&gt;"",H834,IF(AND(F834&lt;&gt;"",G834&lt;&gt;""),ROUND((G834-F834)*1440,0),""))</f>
        <v/>
      </c>
      <c r="J834" s="26" t="n"/>
      <c r="K834" s="9">
        <f>IF(D834="","",IFERROR(VLOOKUP(D834,参数!$A$5:$C$24,2,0),""))</f>
        <v/>
      </c>
      <c r="L834" s="9">
        <f>IF(D834="","",IFERROR(VLOOKUP(D834,参数!$A$5:$C$24,3,0),""))</f>
        <v/>
      </c>
      <c r="M834" s="21" t="n"/>
      <c r="N834" s="21" t="n"/>
      <c r="O834" s="21" t="n"/>
    </row>
    <row r="835">
      <c r="A835" s="24" t="n"/>
      <c r="B835" s="21" t="n"/>
      <c r="C835" s="21" t="n"/>
      <c r="D835" s="21" t="n"/>
      <c r="E835" s="21" t="n"/>
      <c r="F835" s="28" t="n"/>
      <c r="G835" s="28" t="n"/>
      <c r="H835" s="26" t="n"/>
      <c r="I835" s="10">
        <f>IF(H835&lt;&gt;"",H835,IF(AND(F835&lt;&gt;"",G835&lt;&gt;""),ROUND((G835-F835)*1440,0),""))</f>
        <v/>
      </c>
      <c r="J835" s="26" t="n"/>
      <c r="K835" s="9">
        <f>IF(D835="","",IFERROR(VLOOKUP(D835,参数!$A$5:$C$24,2,0),""))</f>
        <v/>
      </c>
      <c r="L835" s="9">
        <f>IF(D835="","",IFERROR(VLOOKUP(D835,参数!$A$5:$C$24,3,0),""))</f>
        <v/>
      </c>
      <c r="M835" s="21" t="n"/>
      <c r="N835" s="21" t="n"/>
      <c r="O835" s="21" t="n"/>
    </row>
    <row r="836">
      <c r="A836" s="24" t="n"/>
      <c r="B836" s="21" t="n"/>
      <c r="C836" s="21" t="n"/>
      <c r="D836" s="21" t="n"/>
      <c r="E836" s="21" t="n"/>
      <c r="F836" s="28" t="n"/>
      <c r="G836" s="28" t="n"/>
      <c r="H836" s="26" t="n"/>
      <c r="I836" s="10">
        <f>IF(H836&lt;&gt;"",H836,IF(AND(F836&lt;&gt;"",G836&lt;&gt;""),ROUND((G836-F836)*1440,0),""))</f>
        <v/>
      </c>
      <c r="J836" s="26" t="n"/>
      <c r="K836" s="9">
        <f>IF(D836="","",IFERROR(VLOOKUP(D836,参数!$A$5:$C$24,2,0),""))</f>
        <v/>
      </c>
      <c r="L836" s="9">
        <f>IF(D836="","",IFERROR(VLOOKUP(D836,参数!$A$5:$C$24,3,0),""))</f>
        <v/>
      </c>
      <c r="M836" s="21" t="n"/>
      <c r="N836" s="21" t="n"/>
      <c r="O836" s="21" t="n"/>
    </row>
    <row r="837">
      <c r="A837" s="24" t="n"/>
      <c r="B837" s="21" t="n"/>
      <c r="C837" s="21" t="n"/>
      <c r="D837" s="21" t="n"/>
      <c r="E837" s="21" t="n"/>
      <c r="F837" s="28" t="n"/>
      <c r="G837" s="28" t="n"/>
      <c r="H837" s="26" t="n"/>
      <c r="I837" s="10">
        <f>IF(H837&lt;&gt;"",H837,IF(AND(F837&lt;&gt;"",G837&lt;&gt;""),ROUND((G837-F837)*1440,0),""))</f>
        <v/>
      </c>
      <c r="J837" s="26" t="n"/>
      <c r="K837" s="9">
        <f>IF(D837="","",IFERROR(VLOOKUP(D837,参数!$A$5:$C$24,2,0),""))</f>
        <v/>
      </c>
      <c r="L837" s="9">
        <f>IF(D837="","",IFERROR(VLOOKUP(D837,参数!$A$5:$C$24,3,0),""))</f>
        <v/>
      </c>
      <c r="M837" s="21" t="n"/>
      <c r="N837" s="21" t="n"/>
      <c r="O837" s="21" t="n"/>
    </row>
    <row r="838">
      <c r="A838" s="24" t="n"/>
      <c r="B838" s="21" t="n"/>
      <c r="C838" s="21" t="n"/>
      <c r="D838" s="21" t="n"/>
      <c r="E838" s="21" t="n"/>
      <c r="F838" s="28" t="n"/>
      <c r="G838" s="28" t="n"/>
      <c r="H838" s="26" t="n"/>
      <c r="I838" s="10">
        <f>IF(H838&lt;&gt;"",H838,IF(AND(F838&lt;&gt;"",G838&lt;&gt;""),ROUND((G838-F838)*1440,0),""))</f>
        <v/>
      </c>
      <c r="J838" s="26" t="n"/>
      <c r="K838" s="9">
        <f>IF(D838="","",IFERROR(VLOOKUP(D838,参数!$A$5:$C$24,2,0),""))</f>
        <v/>
      </c>
      <c r="L838" s="9">
        <f>IF(D838="","",IFERROR(VLOOKUP(D838,参数!$A$5:$C$24,3,0),""))</f>
        <v/>
      </c>
      <c r="M838" s="21" t="n"/>
      <c r="N838" s="21" t="n"/>
      <c r="O838" s="21" t="n"/>
    </row>
    <row r="839">
      <c r="A839" s="24" t="n"/>
      <c r="B839" s="21" t="n"/>
      <c r="C839" s="21" t="n"/>
      <c r="D839" s="21" t="n"/>
      <c r="E839" s="21" t="n"/>
      <c r="F839" s="28" t="n"/>
      <c r="G839" s="28" t="n"/>
      <c r="H839" s="26" t="n"/>
      <c r="I839" s="10">
        <f>IF(H839&lt;&gt;"",H839,IF(AND(F839&lt;&gt;"",G839&lt;&gt;""),ROUND((G839-F839)*1440,0),""))</f>
        <v/>
      </c>
      <c r="J839" s="26" t="n"/>
      <c r="K839" s="9">
        <f>IF(D839="","",IFERROR(VLOOKUP(D839,参数!$A$5:$C$24,2,0),""))</f>
        <v/>
      </c>
      <c r="L839" s="9">
        <f>IF(D839="","",IFERROR(VLOOKUP(D839,参数!$A$5:$C$24,3,0),""))</f>
        <v/>
      </c>
      <c r="M839" s="21" t="n"/>
      <c r="N839" s="21" t="n"/>
      <c r="O839" s="21" t="n"/>
    </row>
    <row r="840">
      <c r="A840" s="24" t="n"/>
      <c r="B840" s="21" t="n"/>
      <c r="C840" s="21" t="n"/>
      <c r="D840" s="21" t="n"/>
      <c r="E840" s="21" t="n"/>
      <c r="F840" s="28" t="n"/>
      <c r="G840" s="28" t="n"/>
      <c r="H840" s="26" t="n"/>
      <c r="I840" s="10">
        <f>IF(H840&lt;&gt;"",H840,IF(AND(F840&lt;&gt;"",G840&lt;&gt;""),ROUND((G840-F840)*1440,0),""))</f>
        <v/>
      </c>
      <c r="J840" s="26" t="n"/>
      <c r="K840" s="9">
        <f>IF(D840="","",IFERROR(VLOOKUP(D840,参数!$A$5:$C$24,2,0),""))</f>
        <v/>
      </c>
      <c r="L840" s="9">
        <f>IF(D840="","",IFERROR(VLOOKUP(D840,参数!$A$5:$C$24,3,0),""))</f>
        <v/>
      </c>
      <c r="M840" s="21" t="n"/>
      <c r="N840" s="21" t="n"/>
      <c r="O840" s="21" t="n"/>
    </row>
    <row r="841">
      <c r="A841" s="24" t="n"/>
      <c r="B841" s="21" t="n"/>
      <c r="C841" s="21" t="n"/>
      <c r="D841" s="21" t="n"/>
      <c r="E841" s="21" t="n"/>
      <c r="F841" s="28" t="n"/>
      <c r="G841" s="28" t="n"/>
      <c r="H841" s="26" t="n"/>
      <c r="I841" s="10">
        <f>IF(H841&lt;&gt;"",H841,IF(AND(F841&lt;&gt;"",G841&lt;&gt;""),ROUND((G841-F841)*1440,0),""))</f>
        <v/>
      </c>
      <c r="J841" s="26" t="n"/>
      <c r="K841" s="9">
        <f>IF(D841="","",IFERROR(VLOOKUP(D841,参数!$A$5:$C$24,2,0),""))</f>
        <v/>
      </c>
      <c r="L841" s="9">
        <f>IF(D841="","",IFERROR(VLOOKUP(D841,参数!$A$5:$C$24,3,0),""))</f>
        <v/>
      </c>
      <c r="M841" s="21" t="n"/>
      <c r="N841" s="21" t="n"/>
      <c r="O841" s="21" t="n"/>
    </row>
    <row r="842">
      <c r="A842" s="24" t="n"/>
      <c r="B842" s="21" t="n"/>
      <c r="C842" s="21" t="n"/>
      <c r="D842" s="21" t="n"/>
      <c r="E842" s="21" t="n"/>
      <c r="F842" s="28" t="n"/>
      <c r="G842" s="28" t="n"/>
      <c r="H842" s="26" t="n"/>
      <c r="I842" s="10">
        <f>IF(H842&lt;&gt;"",H842,IF(AND(F842&lt;&gt;"",G842&lt;&gt;""),ROUND((G842-F842)*1440,0),""))</f>
        <v/>
      </c>
      <c r="J842" s="26" t="n"/>
      <c r="K842" s="9">
        <f>IF(D842="","",IFERROR(VLOOKUP(D842,参数!$A$5:$C$24,2,0),""))</f>
        <v/>
      </c>
      <c r="L842" s="9">
        <f>IF(D842="","",IFERROR(VLOOKUP(D842,参数!$A$5:$C$24,3,0),""))</f>
        <v/>
      </c>
      <c r="M842" s="21" t="n"/>
      <c r="N842" s="21" t="n"/>
      <c r="O842" s="21" t="n"/>
    </row>
    <row r="843">
      <c r="A843" s="24" t="n"/>
      <c r="B843" s="21" t="n"/>
      <c r="C843" s="21" t="n"/>
      <c r="D843" s="21" t="n"/>
      <c r="E843" s="21" t="n"/>
      <c r="F843" s="28" t="n"/>
      <c r="G843" s="28" t="n"/>
      <c r="H843" s="26" t="n"/>
      <c r="I843" s="10">
        <f>IF(H843&lt;&gt;"",H843,IF(AND(F843&lt;&gt;"",G843&lt;&gt;""),ROUND((G843-F843)*1440,0),""))</f>
        <v/>
      </c>
      <c r="J843" s="26" t="n"/>
      <c r="K843" s="9">
        <f>IF(D843="","",IFERROR(VLOOKUP(D843,参数!$A$5:$C$24,2,0),""))</f>
        <v/>
      </c>
      <c r="L843" s="9">
        <f>IF(D843="","",IFERROR(VLOOKUP(D843,参数!$A$5:$C$24,3,0),""))</f>
        <v/>
      </c>
      <c r="M843" s="21" t="n"/>
      <c r="N843" s="21" t="n"/>
      <c r="O843" s="21" t="n"/>
    </row>
    <row r="844">
      <c r="A844" s="24" t="n"/>
      <c r="B844" s="21" t="n"/>
      <c r="C844" s="21" t="n"/>
      <c r="D844" s="21" t="n"/>
      <c r="E844" s="21" t="n"/>
      <c r="F844" s="28" t="n"/>
      <c r="G844" s="28" t="n"/>
      <c r="H844" s="26" t="n"/>
      <c r="I844" s="10">
        <f>IF(H844&lt;&gt;"",H844,IF(AND(F844&lt;&gt;"",G844&lt;&gt;""),ROUND((G844-F844)*1440,0),""))</f>
        <v/>
      </c>
      <c r="J844" s="26" t="n"/>
      <c r="K844" s="9">
        <f>IF(D844="","",IFERROR(VLOOKUP(D844,参数!$A$5:$C$24,2,0),""))</f>
        <v/>
      </c>
      <c r="L844" s="9">
        <f>IF(D844="","",IFERROR(VLOOKUP(D844,参数!$A$5:$C$24,3,0),""))</f>
        <v/>
      </c>
      <c r="M844" s="21" t="n"/>
      <c r="N844" s="21" t="n"/>
      <c r="O844" s="21" t="n"/>
    </row>
    <row r="845">
      <c r="A845" s="24" t="n"/>
      <c r="B845" s="21" t="n"/>
      <c r="C845" s="21" t="n"/>
      <c r="D845" s="21" t="n"/>
      <c r="E845" s="21" t="n"/>
      <c r="F845" s="28" t="n"/>
      <c r="G845" s="28" t="n"/>
      <c r="H845" s="26" t="n"/>
      <c r="I845" s="10">
        <f>IF(H845&lt;&gt;"",H845,IF(AND(F845&lt;&gt;"",G845&lt;&gt;""),ROUND((G845-F845)*1440,0),""))</f>
        <v/>
      </c>
      <c r="J845" s="26" t="n"/>
      <c r="K845" s="9">
        <f>IF(D845="","",IFERROR(VLOOKUP(D845,参数!$A$5:$C$24,2,0),""))</f>
        <v/>
      </c>
      <c r="L845" s="9">
        <f>IF(D845="","",IFERROR(VLOOKUP(D845,参数!$A$5:$C$24,3,0),""))</f>
        <v/>
      </c>
      <c r="M845" s="21" t="n"/>
      <c r="N845" s="21" t="n"/>
      <c r="O845" s="21" t="n"/>
    </row>
    <row r="846">
      <c r="A846" s="24" t="n"/>
      <c r="B846" s="21" t="n"/>
      <c r="C846" s="21" t="n"/>
      <c r="D846" s="21" t="n"/>
      <c r="E846" s="21" t="n"/>
      <c r="F846" s="28" t="n"/>
      <c r="G846" s="28" t="n"/>
      <c r="H846" s="26" t="n"/>
      <c r="I846" s="10">
        <f>IF(H846&lt;&gt;"",H846,IF(AND(F846&lt;&gt;"",G846&lt;&gt;""),ROUND((G846-F846)*1440,0),""))</f>
        <v/>
      </c>
      <c r="J846" s="26" t="n"/>
      <c r="K846" s="9">
        <f>IF(D846="","",IFERROR(VLOOKUP(D846,参数!$A$5:$C$24,2,0),""))</f>
        <v/>
      </c>
      <c r="L846" s="9">
        <f>IF(D846="","",IFERROR(VLOOKUP(D846,参数!$A$5:$C$24,3,0),""))</f>
        <v/>
      </c>
      <c r="M846" s="21" t="n"/>
      <c r="N846" s="21" t="n"/>
      <c r="O846" s="21" t="n"/>
    </row>
    <row r="847">
      <c r="A847" s="24" t="n"/>
      <c r="B847" s="21" t="n"/>
      <c r="C847" s="21" t="n"/>
      <c r="D847" s="21" t="n"/>
      <c r="E847" s="21" t="n"/>
      <c r="F847" s="28" t="n"/>
      <c r="G847" s="28" t="n"/>
      <c r="H847" s="26" t="n"/>
      <c r="I847" s="10">
        <f>IF(H847&lt;&gt;"",H847,IF(AND(F847&lt;&gt;"",G847&lt;&gt;""),ROUND((G847-F847)*1440,0),""))</f>
        <v/>
      </c>
      <c r="J847" s="26" t="n"/>
      <c r="K847" s="9">
        <f>IF(D847="","",IFERROR(VLOOKUP(D847,参数!$A$5:$C$24,2,0),""))</f>
        <v/>
      </c>
      <c r="L847" s="9">
        <f>IF(D847="","",IFERROR(VLOOKUP(D847,参数!$A$5:$C$24,3,0),""))</f>
        <v/>
      </c>
      <c r="M847" s="21" t="n"/>
      <c r="N847" s="21" t="n"/>
      <c r="O847" s="21" t="n"/>
    </row>
    <row r="848">
      <c r="A848" s="24" t="n"/>
      <c r="B848" s="21" t="n"/>
      <c r="C848" s="21" t="n"/>
      <c r="D848" s="21" t="n"/>
      <c r="E848" s="21" t="n"/>
      <c r="F848" s="28" t="n"/>
      <c r="G848" s="28" t="n"/>
      <c r="H848" s="26" t="n"/>
      <c r="I848" s="10">
        <f>IF(H848&lt;&gt;"",H848,IF(AND(F848&lt;&gt;"",G848&lt;&gt;""),ROUND((G848-F848)*1440,0),""))</f>
        <v/>
      </c>
      <c r="J848" s="26" t="n"/>
      <c r="K848" s="9">
        <f>IF(D848="","",IFERROR(VLOOKUP(D848,参数!$A$5:$C$24,2,0),""))</f>
        <v/>
      </c>
      <c r="L848" s="9">
        <f>IF(D848="","",IFERROR(VLOOKUP(D848,参数!$A$5:$C$24,3,0),""))</f>
        <v/>
      </c>
      <c r="M848" s="21" t="n"/>
      <c r="N848" s="21" t="n"/>
      <c r="O848" s="21" t="n"/>
    </row>
    <row r="849">
      <c r="A849" s="24" t="n"/>
      <c r="B849" s="21" t="n"/>
      <c r="C849" s="21" t="n"/>
      <c r="D849" s="21" t="n"/>
      <c r="E849" s="21" t="n"/>
      <c r="F849" s="28" t="n"/>
      <c r="G849" s="28" t="n"/>
      <c r="H849" s="26" t="n"/>
      <c r="I849" s="10">
        <f>IF(H849&lt;&gt;"",H849,IF(AND(F849&lt;&gt;"",G849&lt;&gt;""),ROUND((G849-F849)*1440,0),""))</f>
        <v/>
      </c>
      <c r="J849" s="26" t="n"/>
      <c r="K849" s="9">
        <f>IF(D849="","",IFERROR(VLOOKUP(D849,参数!$A$5:$C$24,2,0),""))</f>
        <v/>
      </c>
      <c r="L849" s="9">
        <f>IF(D849="","",IFERROR(VLOOKUP(D849,参数!$A$5:$C$24,3,0),""))</f>
        <v/>
      </c>
      <c r="M849" s="21" t="n"/>
      <c r="N849" s="21" t="n"/>
      <c r="O849" s="21" t="n"/>
    </row>
    <row r="850">
      <c r="A850" s="24" t="n"/>
      <c r="B850" s="21" t="n"/>
      <c r="C850" s="21" t="n"/>
      <c r="D850" s="21" t="n"/>
      <c r="E850" s="21" t="n"/>
      <c r="F850" s="28" t="n"/>
      <c r="G850" s="28" t="n"/>
      <c r="H850" s="26" t="n"/>
      <c r="I850" s="10">
        <f>IF(H850&lt;&gt;"",H850,IF(AND(F850&lt;&gt;"",G850&lt;&gt;""),ROUND((G850-F850)*1440,0),""))</f>
        <v/>
      </c>
      <c r="J850" s="26" t="n"/>
      <c r="K850" s="9">
        <f>IF(D850="","",IFERROR(VLOOKUP(D850,参数!$A$5:$C$24,2,0),""))</f>
        <v/>
      </c>
      <c r="L850" s="9">
        <f>IF(D850="","",IFERROR(VLOOKUP(D850,参数!$A$5:$C$24,3,0),""))</f>
        <v/>
      </c>
      <c r="M850" s="21" t="n"/>
      <c r="N850" s="21" t="n"/>
      <c r="O850" s="21" t="n"/>
    </row>
    <row r="851">
      <c r="A851" s="24" t="n"/>
      <c r="B851" s="21" t="n"/>
      <c r="C851" s="21" t="n"/>
      <c r="D851" s="21" t="n"/>
      <c r="E851" s="21" t="n"/>
      <c r="F851" s="28" t="n"/>
      <c r="G851" s="28" t="n"/>
      <c r="H851" s="26" t="n"/>
      <c r="I851" s="10">
        <f>IF(H851&lt;&gt;"",H851,IF(AND(F851&lt;&gt;"",G851&lt;&gt;""),ROUND((G851-F851)*1440,0),""))</f>
        <v/>
      </c>
      <c r="J851" s="26" t="n"/>
      <c r="K851" s="9">
        <f>IF(D851="","",IFERROR(VLOOKUP(D851,参数!$A$5:$C$24,2,0),""))</f>
        <v/>
      </c>
      <c r="L851" s="9">
        <f>IF(D851="","",IFERROR(VLOOKUP(D851,参数!$A$5:$C$24,3,0),""))</f>
        <v/>
      </c>
      <c r="M851" s="21" t="n"/>
      <c r="N851" s="21" t="n"/>
      <c r="O851" s="21" t="n"/>
    </row>
    <row r="852">
      <c r="A852" s="24" t="n"/>
      <c r="B852" s="21" t="n"/>
      <c r="C852" s="21" t="n"/>
      <c r="D852" s="21" t="n"/>
      <c r="E852" s="21" t="n"/>
      <c r="F852" s="28" t="n"/>
      <c r="G852" s="28" t="n"/>
      <c r="H852" s="26" t="n"/>
      <c r="I852" s="10">
        <f>IF(H852&lt;&gt;"",H852,IF(AND(F852&lt;&gt;"",G852&lt;&gt;""),ROUND((G852-F852)*1440,0),""))</f>
        <v/>
      </c>
      <c r="J852" s="26" t="n"/>
      <c r="K852" s="9">
        <f>IF(D852="","",IFERROR(VLOOKUP(D852,参数!$A$5:$C$24,2,0),""))</f>
        <v/>
      </c>
      <c r="L852" s="9">
        <f>IF(D852="","",IFERROR(VLOOKUP(D852,参数!$A$5:$C$24,3,0),""))</f>
        <v/>
      </c>
      <c r="M852" s="21" t="n"/>
      <c r="N852" s="21" t="n"/>
      <c r="O852" s="21" t="n"/>
    </row>
    <row r="853">
      <c r="A853" s="24" t="n"/>
      <c r="B853" s="21" t="n"/>
      <c r="C853" s="21" t="n"/>
      <c r="D853" s="21" t="n"/>
      <c r="E853" s="21" t="n"/>
      <c r="F853" s="28" t="n"/>
      <c r="G853" s="28" t="n"/>
      <c r="H853" s="26" t="n"/>
      <c r="I853" s="10">
        <f>IF(H853&lt;&gt;"",H853,IF(AND(F853&lt;&gt;"",G853&lt;&gt;""),ROUND((G853-F853)*1440,0),""))</f>
        <v/>
      </c>
      <c r="J853" s="26" t="n"/>
      <c r="K853" s="9">
        <f>IF(D853="","",IFERROR(VLOOKUP(D853,参数!$A$5:$C$24,2,0),""))</f>
        <v/>
      </c>
      <c r="L853" s="9">
        <f>IF(D853="","",IFERROR(VLOOKUP(D853,参数!$A$5:$C$24,3,0),""))</f>
        <v/>
      </c>
      <c r="M853" s="21" t="n"/>
      <c r="N853" s="21" t="n"/>
      <c r="O853" s="21" t="n"/>
    </row>
    <row r="854">
      <c r="A854" s="24" t="n"/>
      <c r="B854" s="21" t="n"/>
      <c r="C854" s="21" t="n"/>
      <c r="D854" s="21" t="n"/>
      <c r="E854" s="21" t="n"/>
      <c r="F854" s="28" t="n"/>
      <c r="G854" s="28" t="n"/>
      <c r="H854" s="26" t="n"/>
      <c r="I854" s="10">
        <f>IF(H854&lt;&gt;"",H854,IF(AND(F854&lt;&gt;"",G854&lt;&gt;""),ROUND((G854-F854)*1440,0),""))</f>
        <v/>
      </c>
      <c r="J854" s="26" t="n"/>
      <c r="K854" s="9">
        <f>IF(D854="","",IFERROR(VLOOKUP(D854,参数!$A$5:$C$24,2,0),""))</f>
        <v/>
      </c>
      <c r="L854" s="9">
        <f>IF(D854="","",IFERROR(VLOOKUP(D854,参数!$A$5:$C$24,3,0),""))</f>
        <v/>
      </c>
      <c r="M854" s="21" t="n"/>
      <c r="N854" s="21" t="n"/>
      <c r="O854" s="21" t="n"/>
    </row>
    <row r="855">
      <c r="A855" s="24" t="n"/>
      <c r="B855" s="21" t="n"/>
      <c r="C855" s="21" t="n"/>
      <c r="D855" s="21" t="n"/>
      <c r="E855" s="21" t="n"/>
      <c r="F855" s="28" t="n"/>
      <c r="G855" s="28" t="n"/>
      <c r="H855" s="26" t="n"/>
      <c r="I855" s="10">
        <f>IF(H855&lt;&gt;"",H855,IF(AND(F855&lt;&gt;"",G855&lt;&gt;""),ROUND((G855-F855)*1440,0),""))</f>
        <v/>
      </c>
      <c r="J855" s="26" t="n"/>
      <c r="K855" s="9">
        <f>IF(D855="","",IFERROR(VLOOKUP(D855,参数!$A$5:$C$24,2,0),""))</f>
        <v/>
      </c>
      <c r="L855" s="9">
        <f>IF(D855="","",IFERROR(VLOOKUP(D855,参数!$A$5:$C$24,3,0),""))</f>
        <v/>
      </c>
      <c r="M855" s="21" t="n"/>
      <c r="N855" s="21" t="n"/>
      <c r="O855" s="21" t="n"/>
    </row>
    <row r="856">
      <c r="A856" s="24" t="n"/>
      <c r="B856" s="21" t="n"/>
      <c r="C856" s="21" t="n"/>
      <c r="D856" s="21" t="n"/>
      <c r="E856" s="21" t="n"/>
      <c r="F856" s="28" t="n"/>
      <c r="G856" s="28" t="n"/>
      <c r="H856" s="26" t="n"/>
      <c r="I856" s="10">
        <f>IF(H856&lt;&gt;"",H856,IF(AND(F856&lt;&gt;"",G856&lt;&gt;""),ROUND((G856-F856)*1440,0),""))</f>
        <v/>
      </c>
      <c r="J856" s="26" t="n"/>
      <c r="K856" s="9">
        <f>IF(D856="","",IFERROR(VLOOKUP(D856,参数!$A$5:$C$24,2,0),""))</f>
        <v/>
      </c>
      <c r="L856" s="9">
        <f>IF(D856="","",IFERROR(VLOOKUP(D856,参数!$A$5:$C$24,3,0),""))</f>
        <v/>
      </c>
      <c r="M856" s="21" t="n"/>
      <c r="N856" s="21" t="n"/>
      <c r="O856" s="21" t="n"/>
    </row>
    <row r="857">
      <c r="A857" s="24" t="n"/>
      <c r="B857" s="21" t="n"/>
      <c r="C857" s="21" t="n"/>
      <c r="D857" s="21" t="n"/>
      <c r="E857" s="21" t="n"/>
      <c r="F857" s="28" t="n"/>
      <c r="G857" s="28" t="n"/>
      <c r="H857" s="26" t="n"/>
      <c r="I857" s="10">
        <f>IF(H857&lt;&gt;"",H857,IF(AND(F857&lt;&gt;"",G857&lt;&gt;""),ROUND((G857-F857)*1440,0),""))</f>
        <v/>
      </c>
      <c r="J857" s="26" t="n"/>
      <c r="K857" s="9">
        <f>IF(D857="","",IFERROR(VLOOKUP(D857,参数!$A$5:$C$24,2,0),""))</f>
        <v/>
      </c>
      <c r="L857" s="9">
        <f>IF(D857="","",IFERROR(VLOOKUP(D857,参数!$A$5:$C$24,3,0),""))</f>
        <v/>
      </c>
      <c r="M857" s="21" t="n"/>
      <c r="N857" s="21" t="n"/>
      <c r="O857" s="21" t="n"/>
    </row>
    <row r="858">
      <c r="A858" s="24" t="n"/>
      <c r="B858" s="21" t="n"/>
      <c r="C858" s="21" t="n"/>
      <c r="D858" s="21" t="n"/>
      <c r="E858" s="21" t="n"/>
      <c r="F858" s="28" t="n"/>
      <c r="G858" s="28" t="n"/>
      <c r="H858" s="26" t="n"/>
      <c r="I858" s="10">
        <f>IF(H858&lt;&gt;"",H858,IF(AND(F858&lt;&gt;"",G858&lt;&gt;""),ROUND((G858-F858)*1440,0),""))</f>
        <v/>
      </c>
      <c r="J858" s="26" t="n"/>
      <c r="K858" s="9">
        <f>IF(D858="","",IFERROR(VLOOKUP(D858,参数!$A$5:$C$24,2,0),""))</f>
        <v/>
      </c>
      <c r="L858" s="9">
        <f>IF(D858="","",IFERROR(VLOOKUP(D858,参数!$A$5:$C$24,3,0),""))</f>
        <v/>
      </c>
      <c r="M858" s="21" t="n"/>
      <c r="N858" s="21" t="n"/>
      <c r="O858" s="21" t="n"/>
    </row>
    <row r="859">
      <c r="A859" s="24" t="n"/>
      <c r="B859" s="21" t="n"/>
      <c r="C859" s="21" t="n"/>
      <c r="D859" s="21" t="n"/>
      <c r="E859" s="21" t="n"/>
      <c r="F859" s="28" t="n"/>
      <c r="G859" s="28" t="n"/>
      <c r="H859" s="26" t="n"/>
      <c r="I859" s="10">
        <f>IF(H859&lt;&gt;"",H859,IF(AND(F859&lt;&gt;"",G859&lt;&gt;""),ROUND((G859-F859)*1440,0),""))</f>
        <v/>
      </c>
      <c r="J859" s="26" t="n"/>
      <c r="K859" s="9">
        <f>IF(D859="","",IFERROR(VLOOKUP(D859,参数!$A$5:$C$24,2,0),""))</f>
        <v/>
      </c>
      <c r="L859" s="9">
        <f>IF(D859="","",IFERROR(VLOOKUP(D859,参数!$A$5:$C$24,3,0),""))</f>
        <v/>
      </c>
      <c r="M859" s="21" t="n"/>
      <c r="N859" s="21" t="n"/>
      <c r="O859" s="21" t="n"/>
    </row>
    <row r="860">
      <c r="A860" s="24" t="n"/>
      <c r="B860" s="21" t="n"/>
      <c r="C860" s="21" t="n"/>
      <c r="D860" s="21" t="n"/>
      <c r="E860" s="21" t="n"/>
      <c r="F860" s="28" t="n"/>
      <c r="G860" s="28" t="n"/>
      <c r="H860" s="26" t="n"/>
      <c r="I860" s="10">
        <f>IF(H860&lt;&gt;"",H860,IF(AND(F860&lt;&gt;"",G860&lt;&gt;""),ROUND((G860-F860)*1440,0),""))</f>
        <v/>
      </c>
      <c r="J860" s="26" t="n"/>
      <c r="K860" s="9">
        <f>IF(D860="","",IFERROR(VLOOKUP(D860,参数!$A$5:$C$24,2,0),""))</f>
        <v/>
      </c>
      <c r="L860" s="9">
        <f>IF(D860="","",IFERROR(VLOOKUP(D860,参数!$A$5:$C$24,3,0),""))</f>
        <v/>
      </c>
      <c r="M860" s="21" t="n"/>
      <c r="N860" s="21" t="n"/>
      <c r="O860" s="21" t="n"/>
    </row>
    <row r="861">
      <c r="A861" s="24" t="n"/>
      <c r="B861" s="21" t="n"/>
      <c r="C861" s="21" t="n"/>
      <c r="D861" s="21" t="n"/>
      <c r="E861" s="21" t="n"/>
      <c r="F861" s="28" t="n"/>
      <c r="G861" s="28" t="n"/>
      <c r="H861" s="26" t="n"/>
      <c r="I861" s="10">
        <f>IF(H861&lt;&gt;"",H861,IF(AND(F861&lt;&gt;"",G861&lt;&gt;""),ROUND((G861-F861)*1440,0),""))</f>
        <v/>
      </c>
      <c r="J861" s="26" t="n"/>
      <c r="K861" s="9">
        <f>IF(D861="","",IFERROR(VLOOKUP(D861,参数!$A$5:$C$24,2,0),""))</f>
        <v/>
      </c>
      <c r="L861" s="9">
        <f>IF(D861="","",IFERROR(VLOOKUP(D861,参数!$A$5:$C$24,3,0),""))</f>
        <v/>
      </c>
      <c r="M861" s="21" t="n"/>
      <c r="N861" s="21" t="n"/>
      <c r="O861" s="21" t="n"/>
    </row>
    <row r="862">
      <c r="A862" s="24" t="n"/>
      <c r="B862" s="21" t="n"/>
      <c r="C862" s="21" t="n"/>
      <c r="D862" s="21" t="n"/>
      <c r="E862" s="21" t="n"/>
      <c r="F862" s="28" t="n"/>
      <c r="G862" s="28" t="n"/>
      <c r="H862" s="26" t="n"/>
      <c r="I862" s="10">
        <f>IF(H862&lt;&gt;"",H862,IF(AND(F862&lt;&gt;"",G862&lt;&gt;""),ROUND((G862-F862)*1440,0),""))</f>
        <v/>
      </c>
      <c r="J862" s="26" t="n"/>
      <c r="K862" s="9">
        <f>IF(D862="","",IFERROR(VLOOKUP(D862,参数!$A$5:$C$24,2,0),""))</f>
        <v/>
      </c>
      <c r="L862" s="9">
        <f>IF(D862="","",IFERROR(VLOOKUP(D862,参数!$A$5:$C$24,3,0),""))</f>
        <v/>
      </c>
      <c r="M862" s="21" t="n"/>
      <c r="N862" s="21" t="n"/>
      <c r="O862" s="21" t="n"/>
    </row>
    <row r="863">
      <c r="A863" s="24" t="n"/>
      <c r="B863" s="21" t="n"/>
      <c r="C863" s="21" t="n"/>
      <c r="D863" s="21" t="n"/>
      <c r="E863" s="21" t="n"/>
      <c r="F863" s="28" t="n"/>
      <c r="G863" s="28" t="n"/>
      <c r="H863" s="26" t="n"/>
      <c r="I863" s="10">
        <f>IF(H863&lt;&gt;"",H863,IF(AND(F863&lt;&gt;"",G863&lt;&gt;""),ROUND((G863-F863)*1440,0),""))</f>
        <v/>
      </c>
      <c r="J863" s="26" t="n"/>
      <c r="K863" s="9">
        <f>IF(D863="","",IFERROR(VLOOKUP(D863,参数!$A$5:$C$24,2,0),""))</f>
        <v/>
      </c>
      <c r="L863" s="9">
        <f>IF(D863="","",IFERROR(VLOOKUP(D863,参数!$A$5:$C$24,3,0),""))</f>
        <v/>
      </c>
      <c r="M863" s="21" t="n"/>
      <c r="N863" s="21" t="n"/>
      <c r="O863" s="21" t="n"/>
    </row>
    <row r="864">
      <c r="A864" s="24" t="n"/>
      <c r="B864" s="21" t="n"/>
      <c r="C864" s="21" t="n"/>
      <c r="D864" s="21" t="n"/>
      <c r="E864" s="21" t="n"/>
      <c r="F864" s="28" t="n"/>
      <c r="G864" s="28" t="n"/>
      <c r="H864" s="26" t="n"/>
      <c r="I864" s="10">
        <f>IF(H864&lt;&gt;"",H864,IF(AND(F864&lt;&gt;"",G864&lt;&gt;""),ROUND((G864-F864)*1440,0),""))</f>
        <v/>
      </c>
      <c r="J864" s="26" t="n"/>
      <c r="K864" s="9">
        <f>IF(D864="","",IFERROR(VLOOKUP(D864,参数!$A$5:$C$24,2,0),""))</f>
        <v/>
      </c>
      <c r="L864" s="9">
        <f>IF(D864="","",IFERROR(VLOOKUP(D864,参数!$A$5:$C$24,3,0),""))</f>
        <v/>
      </c>
      <c r="M864" s="21" t="n"/>
      <c r="N864" s="21" t="n"/>
      <c r="O864" s="21" t="n"/>
    </row>
    <row r="865">
      <c r="A865" s="24" t="n"/>
      <c r="B865" s="21" t="n"/>
      <c r="C865" s="21" t="n"/>
      <c r="D865" s="21" t="n"/>
      <c r="E865" s="21" t="n"/>
      <c r="F865" s="28" t="n"/>
      <c r="G865" s="28" t="n"/>
      <c r="H865" s="26" t="n"/>
      <c r="I865" s="10">
        <f>IF(H865&lt;&gt;"",H865,IF(AND(F865&lt;&gt;"",G865&lt;&gt;""),ROUND((G865-F865)*1440,0),""))</f>
        <v/>
      </c>
      <c r="J865" s="26" t="n"/>
      <c r="K865" s="9">
        <f>IF(D865="","",IFERROR(VLOOKUP(D865,参数!$A$5:$C$24,2,0),""))</f>
        <v/>
      </c>
      <c r="L865" s="9">
        <f>IF(D865="","",IFERROR(VLOOKUP(D865,参数!$A$5:$C$24,3,0),""))</f>
        <v/>
      </c>
      <c r="M865" s="21" t="n"/>
      <c r="N865" s="21" t="n"/>
      <c r="O865" s="21" t="n"/>
    </row>
    <row r="866">
      <c r="A866" s="24" t="n"/>
      <c r="B866" s="21" t="n"/>
      <c r="C866" s="21" t="n"/>
      <c r="D866" s="21" t="n"/>
      <c r="E866" s="21" t="n"/>
      <c r="F866" s="28" t="n"/>
      <c r="G866" s="28" t="n"/>
      <c r="H866" s="26" t="n"/>
      <c r="I866" s="10">
        <f>IF(H866&lt;&gt;"",H866,IF(AND(F866&lt;&gt;"",G866&lt;&gt;""),ROUND((G866-F866)*1440,0),""))</f>
        <v/>
      </c>
      <c r="J866" s="26" t="n"/>
      <c r="K866" s="9">
        <f>IF(D866="","",IFERROR(VLOOKUP(D866,参数!$A$5:$C$24,2,0),""))</f>
        <v/>
      </c>
      <c r="L866" s="9">
        <f>IF(D866="","",IFERROR(VLOOKUP(D866,参数!$A$5:$C$24,3,0),""))</f>
        <v/>
      </c>
      <c r="M866" s="21" t="n"/>
      <c r="N866" s="21" t="n"/>
      <c r="O866" s="21" t="n"/>
    </row>
    <row r="867">
      <c r="A867" s="24" t="n"/>
      <c r="B867" s="21" t="n"/>
      <c r="C867" s="21" t="n"/>
      <c r="D867" s="21" t="n"/>
      <c r="E867" s="21" t="n"/>
      <c r="F867" s="28" t="n"/>
      <c r="G867" s="28" t="n"/>
      <c r="H867" s="26" t="n"/>
      <c r="I867" s="10">
        <f>IF(H867&lt;&gt;"",H867,IF(AND(F867&lt;&gt;"",G867&lt;&gt;""),ROUND((G867-F867)*1440,0),""))</f>
        <v/>
      </c>
      <c r="J867" s="26" t="n"/>
      <c r="K867" s="9">
        <f>IF(D867="","",IFERROR(VLOOKUP(D867,参数!$A$5:$C$24,2,0),""))</f>
        <v/>
      </c>
      <c r="L867" s="9">
        <f>IF(D867="","",IFERROR(VLOOKUP(D867,参数!$A$5:$C$24,3,0),""))</f>
        <v/>
      </c>
      <c r="M867" s="21" t="n"/>
      <c r="N867" s="21" t="n"/>
      <c r="O867" s="21" t="n"/>
    </row>
    <row r="868">
      <c r="A868" s="24" t="n"/>
      <c r="B868" s="21" t="n"/>
      <c r="C868" s="21" t="n"/>
      <c r="D868" s="21" t="n"/>
      <c r="E868" s="21" t="n"/>
      <c r="F868" s="28" t="n"/>
      <c r="G868" s="28" t="n"/>
      <c r="H868" s="26" t="n"/>
      <c r="I868" s="10">
        <f>IF(H868&lt;&gt;"",H868,IF(AND(F868&lt;&gt;"",G868&lt;&gt;""),ROUND((G868-F868)*1440,0),""))</f>
        <v/>
      </c>
      <c r="J868" s="26" t="n"/>
      <c r="K868" s="9">
        <f>IF(D868="","",IFERROR(VLOOKUP(D868,参数!$A$5:$C$24,2,0),""))</f>
        <v/>
      </c>
      <c r="L868" s="9">
        <f>IF(D868="","",IFERROR(VLOOKUP(D868,参数!$A$5:$C$24,3,0),""))</f>
        <v/>
      </c>
      <c r="M868" s="21" t="n"/>
      <c r="N868" s="21" t="n"/>
      <c r="O868" s="21" t="n"/>
    </row>
    <row r="869">
      <c r="A869" s="24" t="n"/>
      <c r="B869" s="21" t="n"/>
      <c r="C869" s="21" t="n"/>
      <c r="D869" s="21" t="n"/>
      <c r="E869" s="21" t="n"/>
      <c r="F869" s="28" t="n"/>
      <c r="G869" s="28" t="n"/>
      <c r="H869" s="26" t="n"/>
      <c r="I869" s="10">
        <f>IF(H869&lt;&gt;"",H869,IF(AND(F869&lt;&gt;"",G869&lt;&gt;""),ROUND((G869-F869)*1440,0),""))</f>
        <v/>
      </c>
      <c r="J869" s="26" t="n"/>
      <c r="K869" s="9">
        <f>IF(D869="","",IFERROR(VLOOKUP(D869,参数!$A$5:$C$24,2,0),""))</f>
        <v/>
      </c>
      <c r="L869" s="9">
        <f>IF(D869="","",IFERROR(VLOOKUP(D869,参数!$A$5:$C$24,3,0),""))</f>
        <v/>
      </c>
      <c r="M869" s="21" t="n"/>
      <c r="N869" s="21" t="n"/>
      <c r="O869" s="21" t="n"/>
    </row>
    <row r="870">
      <c r="A870" s="24" t="n"/>
      <c r="B870" s="21" t="n"/>
      <c r="C870" s="21" t="n"/>
      <c r="D870" s="21" t="n"/>
      <c r="E870" s="21" t="n"/>
      <c r="F870" s="28" t="n"/>
      <c r="G870" s="28" t="n"/>
      <c r="H870" s="26" t="n"/>
      <c r="I870" s="10">
        <f>IF(H870&lt;&gt;"",H870,IF(AND(F870&lt;&gt;"",G870&lt;&gt;""),ROUND((G870-F870)*1440,0),""))</f>
        <v/>
      </c>
      <c r="J870" s="26" t="n"/>
      <c r="K870" s="9">
        <f>IF(D870="","",IFERROR(VLOOKUP(D870,参数!$A$5:$C$24,2,0),""))</f>
        <v/>
      </c>
      <c r="L870" s="9">
        <f>IF(D870="","",IFERROR(VLOOKUP(D870,参数!$A$5:$C$24,3,0),""))</f>
        <v/>
      </c>
      <c r="M870" s="21" t="n"/>
      <c r="N870" s="21" t="n"/>
      <c r="O870" s="21" t="n"/>
    </row>
    <row r="871">
      <c r="A871" s="24" t="n"/>
      <c r="B871" s="21" t="n"/>
      <c r="C871" s="21" t="n"/>
      <c r="D871" s="21" t="n"/>
      <c r="E871" s="21" t="n"/>
      <c r="F871" s="28" t="n"/>
      <c r="G871" s="28" t="n"/>
      <c r="H871" s="26" t="n"/>
      <c r="I871" s="10">
        <f>IF(H871&lt;&gt;"",H871,IF(AND(F871&lt;&gt;"",G871&lt;&gt;""),ROUND((G871-F871)*1440,0),""))</f>
        <v/>
      </c>
      <c r="J871" s="26" t="n"/>
      <c r="K871" s="9">
        <f>IF(D871="","",IFERROR(VLOOKUP(D871,参数!$A$5:$C$24,2,0),""))</f>
        <v/>
      </c>
      <c r="L871" s="9">
        <f>IF(D871="","",IFERROR(VLOOKUP(D871,参数!$A$5:$C$24,3,0),""))</f>
        <v/>
      </c>
      <c r="M871" s="21" t="n"/>
      <c r="N871" s="21" t="n"/>
      <c r="O871" s="21" t="n"/>
    </row>
    <row r="872">
      <c r="A872" s="24" t="n"/>
      <c r="B872" s="21" t="n"/>
      <c r="C872" s="21" t="n"/>
      <c r="D872" s="21" t="n"/>
      <c r="E872" s="21" t="n"/>
      <c r="F872" s="28" t="n"/>
      <c r="G872" s="28" t="n"/>
      <c r="H872" s="26" t="n"/>
      <c r="I872" s="10">
        <f>IF(H872&lt;&gt;"",H872,IF(AND(F872&lt;&gt;"",G872&lt;&gt;""),ROUND((G872-F872)*1440,0),""))</f>
        <v/>
      </c>
      <c r="J872" s="26" t="n"/>
      <c r="K872" s="9">
        <f>IF(D872="","",IFERROR(VLOOKUP(D872,参数!$A$5:$C$24,2,0),""))</f>
        <v/>
      </c>
      <c r="L872" s="9">
        <f>IF(D872="","",IFERROR(VLOOKUP(D872,参数!$A$5:$C$24,3,0),""))</f>
        <v/>
      </c>
      <c r="M872" s="21" t="n"/>
      <c r="N872" s="21" t="n"/>
      <c r="O872" s="21" t="n"/>
    </row>
    <row r="873">
      <c r="A873" s="24" t="n"/>
      <c r="B873" s="21" t="n"/>
      <c r="C873" s="21" t="n"/>
      <c r="D873" s="21" t="n"/>
      <c r="E873" s="21" t="n"/>
      <c r="F873" s="28" t="n"/>
      <c r="G873" s="28" t="n"/>
      <c r="H873" s="26" t="n"/>
      <c r="I873" s="10">
        <f>IF(H873&lt;&gt;"",H873,IF(AND(F873&lt;&gt;"",G873&lt;&gt;""),ROUND((G873-F873)*1440,0),""))</f>
        <v/>
      </c>
      <c r="J873" s="26" t="n"/>
      <c r="K873" s="9">
        <f>IF(D873="","",IFERROR(VLOOKUP(D873,参数!$A$5:$C$24,2,0),""))</f>
        <v/>
      </c>
      <c r="L873" s="9">
        <f>IF(D873="","",IFERROR(VLOOKUP(D873,参数!$A$5:$C$24,3,0),""))</f>
        <v/>
      </c>
      <c r="M873" s="21" t="n"/>
      <c r="N873" s="21" t="n"/>
      <c r="O873" s="21" t="n"/>
    </row>
    <row r="874">
      <c r="A874" s="24" t="n"/>
      <c r="B874" s="21" t="n"/>
      <c r="C874" s="21" t="n"/>
      <c r="D874" s="21" t="n"/>
      <c r="E874" s="21" t="n"/>
      <c r="F874" s="28" t="n"/>
      <c r="G874" s="28" t="n"/>
      <c r="H874" s="26" t="n"/>
      <c r="I874" s="10">
        <f>IF(H874&lt;&gt;"",H874,IF(AND(F874&lt;&gt;"",G874&lt;&gt;""),ROUND((G874-F874)*1440,0),""))</f>
        <v/>
      </c>
      <c r="J874" s="26" t="n"/>
      <c r="K874" s="9">
        <f>IF(D874="","",IFERROR(VLOOKUP(D874,参数!$A$5:$C$24,2,0),""))</f>
        <v/>
      </c>
      <c r="L874" s="9">
        <f>IF(D874="","",IFERROR(VLOOKUP(D874,参数!$A$5:$C$24,3,0),""))</f>
        <v/>
      </c>
      <c r="M874" s="21" t="n"/>
      <c r="N874" s="21" t="n"/>
      <c r="O874" s="21" t="n"/>
    </row>
    <row r="875">
      <c r="A875" s="24" t="n"/>
      <c r="B875" s="21" t="n"/>
      <c r="C875" s="21" t="n"/>
      <c r="D875" s="21" t="n"/>
      <c r="E875" s="21" t="n"/>
      <c r="F875" s="28" t="n"/>
      <c r="G875" s="28" t="n"/>
      <c r="H875" s="26" t="n"/>
      <c r="I875" s="10">
        <f>IF(H875&lt;&gt;"",H875,IF(AND(F875&lt;&gt;"",G875&lt;&gt;""),ROUND((G875-F875)*1440,0),""))</f>
        <v/>
      </c>
      <c r="J875" s="26" t="n"/>
      <c r="K875" s="9">
        <f>IF(D875="","",IFERROR(VLOOKUP(D875,参数!$A$5:$C$24,2,0),""))</f>
        <v/>
      </c>
      <c r="L875" s="9">
        <f>IF(D875="","",IFERROR(VLOOKUP(D875,参数!$A$5:$C$24,3,0),""))</f>
        <v/>
      </c>
      <c r="M875" s="21" t="n"/>
      <c r="N875" s="21" t="n"/>
      <c r="O875" s="21" t="n"/>
    </row>
    <row r="876">
      <c r="A876" s="24" t="n"/>
      <c r="B876" s="21" t="n"/>
      <c r="C876" s="21" t="n"/>
      <c r="D876" s="21" t="n"/>
      <c r="E876" s="21" t="n"/>
      <c r="F876" s="28" t="n"/>
      <c r="G876" s="28" t="n"/>
      <c r="H876" s="26" t="n"/>
      <c r="I876" s="10">
        <f>IF(H876&lt;&gt;"",H876,IF(AND(F876&lt;&gt;"",G876&lt;&gt;""),ROUND((G876-F876)*1440,0),""))</f>
        <v/>
      </c>
      <c r="J876" s="26" t="n"/>
      <c r="K876" s="9">
        <f>IF(D876="","",IFERROR(VLOOKUP(D876,参数!$A$5:$C$24,2,0),""))</f>
        <v/>
      </c>
      <c r="L876" s="9">
        <f>IF(D876="","",IFERROR(VLOOKUP(D876,参数!$A$5:$C$24,3,0),""))</f>
        <v/>
      </c>
      <c r="M876" s="21" t="n"/>
      <c r="N876" s="21" t="n"/>
      <c r="O876" s="21" t="n"/>
    </row>
    <row r="877">
      <c r="A877" s="24" t="n"/>
      <c r="B877" s="21" t="n"/>
      <c r="C877" s="21" t="n"/>
      <c r="D877" s="21" t="n"/>
      <c r="E877" s="21" t="n"/>
      <c r="F877" s="28" t="n"/>
      <c r="G877" s="28" t="n"/>
      <c r="H877" s="26" t="n"/>
      <c r="I877" s="10">
        <f>IF(H877&lt;&gt;"",H877,IF(AND(F877&lt;&gt;"",G877&lt;&gt;""),ROUND((G877-F877)*1440,0),""))</f>
        <v/>
      </c>
      <c r="J877" s="26" t="n"/>
      <c r="K877" s="9">
        <f>IF(D877="","",IFERROR(VLOOKUP(D877,参数!$A$5:$C$24,2,0),""))</f>
        <v/>
      </c>
      <c r="L877" s="9">
        <f>IF(D877="","",IFERROR(VLOOKUP(D877,参数!$A$5:$C$24,3,0),""))</f>
        <v/>
      </c>
      <c r="M877" s="21" t="n"/>
      <c r="N877" s="21" t="n"/>
      <c r="O877" s="21" t="n"/>
    </row>
    <row r="878">
      <c r="A878" s="24" t="n"/>
      <c r="B878" s="21" t="n"/>
      <c r="C878" s="21" t="n"/>
      <c r="D878" s="21" t="n"/>
      <c r="E878" s="21" t="n"/>
      <c r="F878" s="28" t="n"/>
      <c r="G878" s="28" t="n"/>
      <c r="H878" s="26" t="n"/>
      <c r="I878" s="10">
        <f>IF(H878&lt;&gt;"",H878,IF(AND(F878&lt;&gt;"",G878&lt;&gt;""),ROUND((G878-F878)*1440,0),""))</f>
        <v/>
      </c>
      <c r="J878" s="26" t="n"/>
      <c r="K878" s="9">
        <f>IF(D878="","",IFERROR(VLOOKUP(D878,参数!$A$5:$C$24,2,0),""))</f>
        <v/>
      </c>
      <c r="L878" s="9">
        <f>IF(D878="","",IFERROR(VLOOKUP(D878,参数!$A$5:$C$24,3,0),""))</f>
        <v/>
      </c>
      <c r="M878" s="21" t="n"/>
      <c r="N878" s="21" t="n"/>
      <c r="O878" s="21" t="n"/>
    </row>
    <row r="879">
      <c r="A879" s="24" t="n"/>
      <c r="B879" s="21" t="n"/>
      <c r="C879" s="21" t="n"/>
      <c r="D879" s="21" t="n"/>
      <c r="E879" s="21" t="n"/>
      <c r="F879" s="28" t="n"/>
      <c r="G879" s="28" t="n"/>
      <c r="H879" s="26" t="n"/>
      <c r="I879" s="10">
        <f>IF(H879&lt;&gt;"",H879,IF(AND(F879&lt;&gt;"",G879&lt;&gt;""),ROUND((G879-F879)*1440,0),""))</f>
        <v/>
      </c>
      <c r="J879" s="26" t="n"/>
      <c r="K879" s="9">
        <f>IF(D879="","",IFERROR(VLOOKUP(D879,参数!$A$5:$C$24,2,0),""))</f>
        <v/>
      </c>
      <c r="L879" s="9">
        <f>IF(D879="","",IFERROR(VLOOKUP(D879,参数!$A$5:$C$24,3,0),""))</f>
        <v/>
      </c>
      <c r="M879" s="21" t="n"/>
      <c r="N879" s="21" t="n"/>
      <c r="O879" s="21" t="n"/>
    </row>
    <row r="880">
      <c r="A880" s="24" t="n"/>
      <c r="B880" s="21" t="n"/>
      <c r="C880" s="21" t="n"/>
      <c r="D880" s="21" t="n"/>
      <c r="E880" s="21" t="n"/>
      <c r="F880" s="28" t="n"/>
      <c r="G880" s="28" t="n"/>
      <c r="H880" s="26" t="n"/>
      <c r="I880" s="10">
        <f>IF(H880&lt;&gt;"",H880,IF(AND(F880&lt;&gt;"",G880&lt;&gt;""),ROUND((G880-F880)*1440,0),""))</f>
        <v/>
      </c>
      <c r="J880" s="26" t="n"/>
      <c r="K880" s="9">
        <f>IF(D880="","",IFERROR(VLOOKUP(D880,参数!$A$5:$C$24,2,0),""))</f>
        <v/>
      </c>
      <c r="L880" s="9">
        <f>IF(D880="","",IFERROR(VLOOKUP(D880,参数!$A$5:$C$24,3,0),""))</f>
        <v/>
      </c>
      <c r="M880" s="21" t="n"/>
      <c r="N880" s="21" t="n"/>
      <c r="O880" s="21" t="n"/>
    </row>
    <row r="881">
      <c r="A881" s="24" t="n"/>
      <c r="B881" s="21" t="n"/>
      <c r="C881" s="21" t="n"/>
      <c r="D881" s="21" t="n"/>
      <c r="E881" s="21" t="n"/>
      <c r="F881" s="28" t="n"/>
      <c r="G881" s="28" t="n"/>
      <c r="H881" s="26" t="n"/>
      <c r="I881" s="10">
        <f>IF(H881&lt;&gt;"",H881,IF(AND(F881&lt;&gt;"",G881&lt;&gt;""),ROUND((G881-F881)*1440,0),""))</f>
        <v/>
      </c>
      <c r="J881" s="26" t="n"/>
      <c r="K881" s="9">
        <f>IF(D881="","",IFERROR(VLOOKUP(D881,参数!$A$5:$C$24,2,0),""))</f>
        <v/>
      </c>
      <c r="L881" s="9">
        <f>IF(D881="","",IFERROR(VLOOKUP(D881,参数!$A$5:$C$24,3,0),""))</f>
        <v/>
      </c>
      <c r="M881" s="21" t="n"/>
      <c r="N881" s="21" t="n"/>
      <c r="O881" s="21" t="n"/>
    </row>
    <row r="882">
      <c r="A882" s="24" t="n"/>
      <c r="B882" s="21" t="n"/>
      <c r="C882" s="21" t="n"/>
      <c r="D882" s="21" t="n"/>
      <c r="E882" s="21" t="n"/>
      <c r="F882" s="28" t="n"/>
      <c r="G882" s="28" t="n"/>
      <c r="H882" s="26" t="n"/>
      <c r="I882" s="10">
        <f>IF(H882&lt;&gt;"",H882,IF(AND(F882&lt;&gt;"",G882&lt;&gt;""),ROUND((G882-F882)*1440,0),""))</f>
        <v/>
      </c>
      <c r="J882" s="26" t="n"/>
      <c r="K882" s="9">
        <f>IF(D882="","",IFERROR(VLOOKUP(D882,参数!$A$5:$C$24,2,0),""))</f>
        <v/>
      </c>
      <c r="L882" s="9">
        <f>IF(D882="","",IFERROR(VLOOKUP(D882,参数!$A$5:$C$24,3,0),""))</f>
        <v/>
      </c>
      <c r="M882" s="21" t="n"/>
      <c r="N882" s="21" t="n"/>
      <c r="O882" s="21" t="n"/>
    </row>
    <row r="883">
      <c r="A883" s="24" t="n"/>
      <c r="B883" s="21" t="n"/>
      <c r="C883" s="21" t="n"/>
      <c r="D883" s="21" t="n"/>
      <c r="E883" s="21" t="n"/>
      <c r="F883" s="28" t="n"/>
      <c r="G883" s="28" t="n"/>
      <c r="H883" s="26" t="n"/>
      <c r="I883" s="10">
        <f>IF(H883&lt;&gt;"",H883,IF(AND(F883&lt;&gt;"",G883&lt;&gt;""),ROUND((G883-F883)*1440,0),""))</f>
        <v/>
      </c>
      <c r="J883" s="26" t="n"/>
      <c r="K883" s="9">
        <f>IF(D883="","",IFERROR(VLOOKUP(D883,参数!$A$5:$C$24,2,0),""))</f>
        <v/>
      </c>
      <c r="L883" s="9">
        <f>IF(D883="","",IFERROR(VLOOKUP(D883,参数!$A$5:$C$24,3,0),""))</f>
        <v/>
      </c>
      <c r="M883" s="21" t="n"/>
      <c r="N883" s="21" t="n"/>
      <c r="O883" s="21" t="n"/>
    </row>
    <row r="884">
      <c r="A884" s="24" t="n"/>
      <c r="B884" s="21" t="n"/>
      <c r="C884" s="21" t="n"/>
      <c r="D884" s="21" t="n"/>
      <c r="E884" s="21" t="n"/>
      <c r="F884" s="28" t="n"/>
      <c r="G884" s="28" t="n"/>
      <c r="H884" s="26" t="n"/>
      <c r="I884" s="10">
        <f>IF(H884&lt;&gt;"",H884,IF(AND(F884&lt;&gt;"",G884&lt;&gt;""),ROUND((G884-F884)*1440,0),""))</f>
        <v/>
      </c>
      <c r="J884" s="26" t="n"/>
      <c r="K884" s="9">
        <f>IF(D884="","",IFERROR(VLOOKUP(D884,参数!$A$5:$C$24,2,0),""))</f>
        <v/>
      </c>
      <c r="L884" s="9">
        <f>IF(D884="","",IFERROR(VLOOKUP(D884,参数!$A$5:$C$24,3,0),""))</f>
        <v/>
      </c>
      <c r="M884" s="21" t="n"/>
      <c r="N884" s="21" t="n"/>
      <c r="O884" s="21" t="n"/>
    </row>
    <row r="885">
      <c r="A885" s="24" t="n"/>
      <c r="B885" s="21" t="n"/>
      <c r="C885" s="21" t="n"/>
      <c r="D885" s="21" t="n"/>
      <c r="E885" s="21" t="n"/>
      <c r="F885" s="28" t="n"/>
      <c r="G885" s="28" t="n"/>
      <c r="H885" s="26" t="n"/>
      <c r="I885" s="10">
        <f>IF(H885&lt;&gt;"",H885,IF(AND(F885&lt;&gt;"",G885&lt;&gt;""),ROUND((G885-F885)*1440,0),""))</f>
        <v/>
      </c>
      <c r="J885" s="26" t="n"/>
      <c r="K885" s="9">
        <f>IF(D885="","",IFERROR(VLOOKUP(D885,参数!$A$5:$C$24,2,0),""))</f>
        <v/>
      </c>
      <c r="L885" s="9">
        <f>IF(D885="","",IFERROR(VLOOKUP(D885,参数!$A$5:$C$24,3,0),""))</f>
        <v/>
      </c>
      <c r="M885" s="21" t="n"/>
      <c r="N885" s="21" t="n"/>
      <c r="O885" s="21" t="n"/>
    </row>
    <row r="886">
      <c r="A886" s="24" t="n"/>
      <c r="B886" s="21" t="n"/>
      <c r="C886" s="21" t="n"/>
      <c r="D886" s="21" t="n"/>
      <c r="E886" s="21" t="n"/>
      <c r="F886" s="28" t="n"/>
      <c r="G886" s="28" t="n"/>
      <c r="H886" s="26" t="n"/>
      <c r="I886" s="10">
        <f>IF(H886&lt;&gt;"",H886,IF(AND(F886&lt;&gt;"",G886&lt;&gt;""),ROUND((G886-F886)*1440,0),""))</f>
        <v/>
      </c>
      <c r="J886" s="26" t="n"/>
      <c r="K886" s="9">
        <f>IF(D886="","",IFERROR(VLOOKUP(D886,参数!$A$5:$C$24,2,0),""))</f>
        <v/>
      </c>
      <c r="L886" s="9">
        <f>IF(D886="","",IFERROR(VLOOKUP(D886,参数!$A$5:$C$24,3,0),""))</f>
        <v/>
      </c>
      <c r="M886" s="21" t="n"/>
      <c r="N886" s="21" t="n"/>
      <c r="O886" s="21" t="n"/>
    </row>
    <row r="887">
      <c r="A887" s="24" t="n"/>
      <c r="B887" s="21" t="n"/>
      <c r="C887" s="21" t="n"/>
      <c r="D887" s="21" t="n"/>
      <c r="E887" s="21" t="n"/>
      <c r="F887" s="28" t="n"/>
      <c r="G887" s="28" t="n"/>
      <c r="H887" s="26" t="n"/>
      <c r="I887" s="10">
        <f>IF(H887&lt;&gt;"",H887,IF(AND(F887&lt;&gt;"",G887&lt;&gt;""),ROUND((G887-F887)*1440,0),""))</f>
        <v/>
      </c>
      <c r="J887" s="26" t="n"/>
      <c r="K887" s="9">
        <f>IF(D887="","",IFERROR(VLOOKUP(D887,参数!$A$5:$C$24,2,0),""))</f>
        <v/>
      </c>
      <c r="L887" s="9">
        <f>IF(D887="","",IFERROR(VLOOKUP(D887,参数!$A$5:$C$24,3,0),""))</f>
        <v/>
      </c>
      <c r="M887" s="21" t="n"/>
      <c r="N887" s="21" t="n"/>
      <c r="O887" s="21" t="n"/>
    </row>
    <row r="888">
      <c r="A888" s="24" t="n"/>
      <c r="B888" s="21" t="n"/>
      <c r="C888" s="21" t="n"/>
      <c r="D888" s="21" t="n"/>
      <c r="E888" s="21" t="n"/>
      <c r="F888" s="28" t="n"/>
      <c r="G888" s="28" t="n"/>
      <c r="H888" s="26" t="n"/>
      <c r="I888" s="10">
        <f>IF(H888&lt;&gt;"",H888,IF(AND(F888&lt;&gt;"",G888&lt;&gt;""),ROUND((G888-F888)*1440,0),""))</f>
        <v/>
      </c>
      <c r="J888" s="26" t="n"/>
      <c r="K888" s="9">
        <f>IF(D888="","",IFERROR(VLOOKUP(D888,参数!$A$5:$C$24,2,0),""))</f>
        <v/>
      </c>
      <c r="L888" s="9">
        <f>IF(D888="","",IFERROR(VLOOKUP(D888,参数!$A$5:$C$24,3,0),""))</f>
        <v/>
      </c>
      <c r="M888" s="21" t="n"/>
      <c r="N888" s="21" t="n"/>
      <c r="O888" s="21" t="n"/>
    </row>
    <row r="889">
      <c r="A889" s="24" t="n"/>
      <c r="B889" s="21" t="n"/>
      <c r="C889" s="21" t="n"/>
      <c r="D889" s="21" t="n"/>
      <c r="E889" s="21" t="n"/>
      <c r="F889" s="28" t="n"/>
      <c r="G889" s="28" t="n"/>
      <c r="H889" s="26" t="n"/>
      <c r="I889" s="10">
        <f>IF(H889&lt;&gt;"",H889,IF(AND(F889&lt;&gt;"",G889&lt;&gt;""),ROUND((G889-F889)*1440,0),""))</f>
        <v/>
      </c>
      <c r="J889" s="26" t="n"/>
      <c r="K889" s="9">
        <f>IF(D889="","",IFERROR(VLOOKUP(D889,参数!$A$5:$C$24,2,0),""))</f>
        <v/>
      </c>
      <c r="L889" s="9">
        <f>IF(D889="","",IFERROR(VLOOKUP(D889,参数!$A$5:$C$24,3,0),""))</f>
        <v/>
      </c>
      <c r="M889" s="21" t="n"/>
      <c r="N889" s="21" t="n"/>
      <c r="O889" s="21" t="n"/>
    </row>
    <row r="890">
      <c r="A890" s="24" t="n"/>
      <c r="B890" s="21" t="n"/>
      <c r="C890" s="21" t="n"/>
      <c r="D890" s="21" t="n"/>
      <c r="E890" s="21" t="n"/>
      <c r="F890" s="28" t="n"/>
      <c r="G890" s="28" t="n"/>
      <c r="H890" s="26" t="n"/>
      <c r="I890" s="10">
        <f>IF(H890&lt;&gt;"",H890,IF(AND(F890&lt;&gt;"",G890&lt;&gt;""),ROUND((G890-F890)*1440,0),""))</f>
        <v/>
      </c>
      <c r="J890" s="26" t="n"/>
      <c r="K890" s="9">
        <f>IF(D890="","",IFERROR(VLOOKUP(D890,参数!$A$5:$C$24,2,0),""))</f>
        <v/>
      </c>
      <c r="L890" s="9">
        <f>IF(D890="","",IFERROR(VLOOKUP(D890,参数!$A$5:$C$24,3,0),""))</f>
        <v/>
      </c>
      <c r="M890" s="21" t="n"/>
      <c r="N890" s="21" t="n"/>
      <c r="O890" s="21" t="n"/>
    </row>
    <row r="891">
      <c r="A891" s="24" t="n"/>
      <c r="B891" s="21" t="n"/>
      <c r="C891" s="21" t="n"/>
      <c r="D891" s="21" t="n"/>
      <c r="E891" s="21" t="n"/>
      <c r="F891" s="28" t="n"/>
      <c r="G891" s="28" t="n"/>
      <c r="H891" s="26" t="n"/>
      <c r="I891" s="10">
        <f>IF(H891&lt;&gt;"",H891,IF(AND(F891&lt;&gt;"",G891&lt;&gt;""),ROUND((G891-F891)*1440,0),""))</f>
        <v/>
      </c>
      <c r="J891" s="26" t="n"/>
      <c r="K891" s="9">
        <f>IF(D891="","",IFERROR(VLOOKUP(D891,参数!$A$5:$C$24,2,0),""))</f>
        <v/>
      </c>
      <c r="L891" s="9">
        <f>IF(D891="","",IFERROR(VLOOKUP(D891,参数!$A$5:$C$24,3,0),""))</f>
        <v/>
      </c>
      <c r="M891" s="21" t="n"/>
      <c r="N891" s="21" t="n"/>
      <c r="O891" s="21" t="n"/>
    </row>
    <row r="892">
      <c r="A892" s="24" t="n"/>
      <c r="B892" s="21" t="n"/>
      <c r="C892" s="21" t="n"/>
      <c r="D892" s="21" t="n"/>
      <c r="E892" s="21" t="n"/>
      <c r="F892" s="28" t="n"/>
      <c r="G892" s="28" t="n"/>
      <c r="H892" s="26" t="n"/>
      <c r="I892" s="10">
        <f>IF(H892&lt;&gt;"",H892,IF(AND(F892&lt;&gt;"",G892&lt;&gt;""),ROUND((G892-F892)*1440,0),""))</f>
        <v/>
      </c>
      <c r="J892" s="26" t="n"/>
      <c r="K892" s="9">
        <f>IF(D892="","",IFERROR(VLOOKUP(D892,参数!$A$5:$C$24,2,0),""))</f>
        <v/>
      </c>
      <c r="L892" s="9">
        <f>IF(D892="","",IFERROR(VLOOKUP(D892,参数!$A$5:$C$24,3,0),""))</f>
        <v/>
      </c>
      <c r="M892" s="21" t="n"/>
      <c r="N892" s="21" t="n"/>
      <c r="O892" s="21" t="n"/>
    </row>
    <row r="893">
      <c r="A893" s="24" t="n"/>
      <c r="B893" s="21" t="n"/>
      <c r="C893" s="21" t="n"/>
      <c r="D893" s="21" t="n"/>
      <c r="E893" s="21" t="n"/>
      <c r="F893" s="28" t="n"/>
      <c r="G893" s="28" t="n"/>
      <c r="H893" s="26" t="n"/>
      <c r="I893" s="10">
        <f>IF(H893&lt;&gt;"",H893,IF(AND(F893&lt;&gt;"",G893&lt;&gt;""),ROUND((G893-F893)*1440,0),""))</f>
        <v/>
      </c>
      <c r="J893" s="26" t="n"/>
      <c r="K893" s="9">
        <f>IF(D893="","",IFERROR(VLOOKUP(D893,参数!$A$5:$C$24,2,0),""))</f>
        <v/>
      </c>
      <c r="L893" s="9">
        <f>IF(D893="","",IFERROR(VLOOKUP(D893,参数!$A$5:$C$24,3,0),""))</f>
        <v/>
      </c>
      <c r="M893" s="21" t="n"/>
      <c r="N893" s="21" t="n"/>
      <c r="O893" s="21" t="n"/>
    </row>
    <row r="894">
      <c r="A894" s="24" t="n"/>
      <c r="B894" s="21" t="n"/>
      <c r="C894" s="21" t="n"/>
      <c r="D894" s="21" t="n"/>
      <c r="E894" s="21" t="n"/>
      <c r="F894" s="28" t="n"/>
      <c r="G894" s="28" t="n"/>
      <c r="H894" s="26" t="n"/>
      <c r="I894" s="10">
        <f>IF(H894&lt;&gt;"",H894,IF(AND(F894&lt;&gt;"",G894&lt;&gt;""),ROUND((G894-F894)*1440,0),""))</f>
        <v/>
      </c>
      <c r="J894" s="26" t="n"/>
      <c r="K894" s="9">
        <f>IF(D894="","",IFERROR(VLOOKUP(D894,参数!$A$5:$C$24,2,0),""))</f>
        <v/>
      </c>
      <c r="L894" s="9">
        <f>IF(D894="","",IFERROR(VLOOKUP(D894,参数!$A$5:$C$24,3,0),""))</f>
        <v/>
      </c>
      <c r="M894" s="21" t="n"/>
      <c r="N894" s="21" t="n"/>
      <c r="O894" s="21" t="n"/>
    </row>
    <row r="895">
      <c r="A895" s="24" t="n"/>
      <c r="B895" s="21" t="n"/>
      <c r="C895" s="21" t="n"/>
      <c r="D895" s="21" t="n"/>
      <c r="E895" s="21" t="n"/>
      <c r="F895" s="28" t="n"/>
      <c r="G895" s="28" t="n"/>
      <c r="H895" s="26" t="n"/>
      <c r="I895" s="10">
        <f>IF(H895&lt;&gt;"",H895,IF(AND(F895&lt;&gt;"",G895&lt;&gt;""),ROUND((G895-F895)*1440,0),""))</f>
        <v/>
      </c>
      <c r="J895" s="26" t="n"/>
      <c r="K895" s="9">
        <f>IF(D895="","",IFERROR(VLOOKUP(D895,参数!$A$5:$C$24,2,0),""))</f>
        <v/>
      </c>
      <c r="L895" s="9">
        <f>IF(D895="","",IFERROR(VLOOKUP(D895,参数!$A$5:$C$24,3,0),""))</f>
        <v/>
      </c>
      <c r="M895" s="21" t="n"/>
      <c r="N895" s="21" t="n"/>
      <c r="O895" s="21" t="n"/>
    </row>
    <row r="896">
      <c r="A896" s="24" t="n"/>
      <c r="B896" s="21" t="n"/>
      <c r="C896" s="21" t="n"/>
      <c r="D896" s="21" t="n"/>
      <c r="E896" s="21" t="n"/>
      <c r="F896" s="28" t="n"/>
      <c r="G896" s="28" t="n"/>
      <c r="H896" s="26" t="n"/>
      <c r="I896" s="10">
        <f>IF(H896&lt;&gt;"",H896,IF(AND(F896&lt;&gt;"",G896&lt;&gt;""),ROUND((G896-F896)*1440,0),""))</f>
        <v/>
      </c>
      <c r="J896" s="26" t="n"/>
      <c r="K896" s="9">
        <f>IF(D896="","",IFERROR(VLOOKUP(D896,参数!$A$5:$C$24,2,0),""))</f>
        <v/>
      </c>
      <c r="L896" s="9">
        <f>IF(D896="","",IFERROR(VLOOKUP(D896,参数!$A$5:$C$24,3,0),""))</f>
        <v/>
      </c>
      <c r="M896" s="21" t="n"/>
      <c r="N896" s="21" t="n"/>
      <c r="O896" s="21" t="n"/>
    </row>
    <row r="897">
      <c r="A897" s="24" t="n"/>
      <c r="B897" s="21" t="n"/>
      <c r="C897" s="21" t="n"/>
      <c r="D897" s="21" t="n"/>
      <c r="E897" s="21" t="n"/>
      <c r="F897" s="28" t="n"/>
      <c r="G897" s="28" t="n"/>
      <c r="H897" s="26" t="n"/>
      <c r="I897" s="10">
        <f>IF(H897&lt;&gt;"",H897,IF(AND(F897&lt;&gt;"",G897&lt;&gt;""),ROUND((G897-F897)*1440,0),""))</f>
        <v/>
      </c>
      <c r="J897" s="26" t="n"/>
      <c r="K897" s="9">
        <f>IF(D897="","",IFERROR(VLOOKUP(D897,参数!$A$5:$C$24,2,0),""))</f>
        <v/>
      </c>
      <c r="L897" s="9">
        <f>IF(D897="","",IFERROR(VLOOKUP(D897,参数!$A$5:$C$24,3,0),""))</f>
        <v/>
      </c>
      <c r="M897" s="21" t="n"/>
      <c r="N897" s="21" t="n"/>
      <c r="O897" s="21" t="n"/>
    </row>
    <row r="898">
      <c r="A898" s="24" t="n"/>
      <c r="B898" s="21" t="n"/>
      <c r="C898" s="21" t="n"/>
      <c r="D898" s="21" t="n"/>
      <c r="E898" s="21" t="n"/>
      <c r="F898" s="28" t="n"/>
      <c r="G898" s="28" t="n"/>
      <c r="H898" s="26" t="n"/>
      <c r="I898" s="10">
        <f>IF(H898&lt;&gt;"",H898,IF(AND(F898&lt;&gt;"",G898&lt;&gt;""),ROUND((G898-F898)*1440,0),""))</f>
        <v/>
      </c>
      <c r="J898" s="26" t="n"/>
      <c r="K898" s="9">
        <f>IF(D898="","",IFERROR(VLOOKUP(D898,参数!$A$5:$C$24,2,0),""))</f>
        <v/>
      </c>
      <c r="L898" s="9">
        <f>IF(D898="","",IFERROR(VLOOKUP(D898,参数!$A$5:$C$24,3,0),""))</f>
        <v/>
      </c>
      <c r="M898" s="21" t="n"/>
      <c r="N898" s="21" t="n"/>
      <c r="O898" s="21" t="n"/>
    </row>
    <row r="899">
      <c r="A899" s="24" t="n"/>
      <c r="B899" s="21" t="n"/>
      <c r="C899" s="21" t="n"/>
      <c r="D899" s="21" t="n"/>
      <c r="E899" s="21" t="n"/>
      <c r="F899" s="28" t="n"/>
      <c r="G899" s="28" t="n"/>
      <c r="H899" s="26" t="n"/>
      <c r="I899" s="10">
        <f>IF(H899&lt;&gt;"",H899,IF(AND(F899&lt;&gt;"",G899&lt;&gt;""),ROUND((G899-F899)*1440,0),""))</f>
        <v/>
      </c>
      <c r="J899" s="26" t="n"/>
      <c r="K899" s="9">
        <f>IF(D899="","",IFERROR(VLOOKUP(D899,参数!$A$5:$C$24,2,0),""))</f>
        <v/>
      </c>
      <c r="L899" s="9">
        <f>IF(D899="","",IFERROR(VLOOKUP(D899,参数!$A$5:$C$24,3,0),""))</f>
        <v/>
      </c>
      <c r="M899" s="21" t="n"/>
      <c r="N899" s="21" t="n"/>
      <c r="O899" s="21" t="n"/>
    </row>
    <row r="900">
      <c r="A900" s="24" t="n"/>
      <c r="B900" s="21" t="n"/>
      <c r="C900" s="21" t="n"/>
      <c r="D900" s="21" t="n"/>
      <c r="E900" s="21" t="n"/>
      <c r="F900" s="28" t="n"/>
      <c r="G900" s="28" t="n"/>
      <c r="H900" s="26" t="n"/>
      <c r="I900" s="10">
        <f>IF(H900&lt;&gt;"",H900,IF(AND(F900&lt;&gt;"",G900&lt;&gt;""),ROUND((G900-F900)*1440,0),""))</f>
        <v/>
      </c>
      <c r="J900" s="26" t="n"/>
      <c r="K900" s="9">
        <f>IF(D900="","",IFERROR(VLOOKUP(D900,参数!$A$5:$C$24,2,0),""))</f>
        <v/>
      </c>
      <c r="L900" s="9">
        <f>IF(D900="","",IFERROR(VLOOKUP(D900,参数!$A$5:$C$24,3,0),""))</f>
        <v/>
      </c>
      <c r="M900" s="21" t="n"/>
      <c r="N900" s="21" t="n"/>
      <c r="O900" s="21" t="n"/>
    </row>
    <row r="901">
      <c r="A901" s="24" t="n"/>
      <c r="B901" s="21" t="n"/>
      <c r="C901" s="21" t="n"/>
      <c r="D901" s="21" t="n"/>
      <c r="E901" s="21" t="n"/>
      <c r="F901" s="28" t="n"/>
      <c r="G901" s="28" t="n"/>
      <c r="H901" s="26" t="n"/>
      <c r="I901" s="10">
        <f>IF(H901&lt;&gt;"",H901,IF(AND(F901&lt;&gt;"",G901&lt;&gt;""),ROUND((G901-F901)*1440,0),""))</f>
        <v/>
      </c>
      <c r="J901" s="26" t="n"/>
      <c r="K901" s="9">
        <f>IF(D901="","",IFERROR(VLOOKUP(D901,参数!$A$5:$C$24,2,0),""))</f>
        <v/>
      </c>
      <c r="L901" s="9">
        <f>IF(D901="","",IFERROR(VLOOKUP(D901,参数!$A$5:$C$24,3,0),""))</f>
        <v/>
      </c>
      <c r="M901" s="21" t="n"/>
      <c r="N901" s="21" t="n"/>
      <c r="O901" s="21" t="n"/>
    </row>
    <row r="902">
      <c r="A902" s="24" t="n"/>
      <c r="B902" s="21" t="n"/>
      <c r="C902" s="21" t="n"/>
      <c r="D902" s="21" t="n"/>
      <c r="E902" s="21" t="n"/>
      <c r="F902" s="28" t="n"/>
      <c r="G902" s="28" t="n"/>
      <c r="H902" s="26" t="n"/>
      <c r="I902" s="10">
        <f>IF(H902&lt;&gt;"",H902,IF(AND(F902&lt;&gt;"",G902&lt;&gt;""),ROUND((G902-F902)*1440,0),""))</f>
        <v/>
      </c>
      <c r="J902" s="26" t="n"/>
      <c r="K902" s="9">
        <f>IF(D902="","",IFERROR(VLOOKUP(D902,参数!$A$5:$C$24,2,0),""))</f>
        <v/>
      </c>
      <c r="L902" s="9">
        <f>IF(D902="","",IFERROR(VLOOKUP(D902,参数!$A$5:$C$24,3,0),""))</f>
        <v/>
      </c>
      <c r="M902" s="21" t="n"/>
      <c r="N902" s="21" t="n"/>
      <c r="O902" s="21" t="n"/>
    </row>
    <row r="903">
      <c r="A903" s="24" t="n"/>
      <c r="B903" s="21" t="n"/>
      <c r="C903" s="21" t="n"/>
      <c r="D903" s="21" t="n"/>
      <c r="E903" s="21" t="n"/>
      <c r="F903" s="28" t="n"/>
      <c r="G903" s="28" t="n"/>
      <c r="H903" s="26" t="n"/>
      <c r="I903" s="10">
        <f>IF(H903&lt;&gt;"",H903,IF(AND(F903&lt;&gt;"",G903&lt;&gt;""),ROUND((G903-F903)*1440,0),""))</f>
        <v/>
      </c>
      <c r="J903" s="26" t="n"/>
      <c r="K903" s="9">
        <f>IF(D903="","",IFERROR(VLOOKUP(D903,参数!$A$5:$C$24,2,0),""))</f>
        <v/>
      </c>
      <c r="L903" s="9">
        <f>IF(D903="","",IFERROR(VLOOKUP(D903,参数!$A$5:$C$24,3,0),""))</f>
        <v/>
      </c>
      <c r="M903" s="21" t="n"/>
      <c r="N903" s="21" t="n"/>
      <c r="O903" s="21" t="n"/>
    </row>
    <row r="904">
      <c r="A904" s="24" t="n"/>
      <c r="B904" s="21" t="n"/>
      <c r="C904" s="21" t="n"/>
      <c r="D904" s="21" t="n"/>
      <c r="E904" s="21" t="n"/>
      <c r="F904" s="28" t="n"/>
      <c r="G904" s="28" t="n"/>
      <c r="H904" s="26" t="n"/>
      <c r="I904" s="10">
        <f>IF(H904&lt;&gt;"",H904,IF(AND(F904&lt;&gt;"",G904&lt;&gt;""),ROUND((G904-F904)*1440,0),""))</f>
        <v/>
      </c>
      <c r="J904" s="26" t="n"/>
      <c r="K904" s="9">
        <f>IF(D904="","",IFERROR(VLOOKUP(D904,参数!$A$5:$C$24,2,0),""))</f>
        <v/>
      </c>
      <c r="L904" s="9">
        <f>IF(D904="","",IFERROR(VLOOKUP(D904,参数!$A$5:$C$24,3,0),""))</f>
        <v/>
      </c>
      <c r="M904" s="21" t="n"/>
      <c r="N904" s="21" t="n"/>
      <c r="O904" s="21" t="n"/>
    </row>
    <row r="905">
      <c r="A905" s="24" t="n"/>
      <c r="B905" s="21" t="n"/>
      <c r="C905" s="21" t="n"/>
      <c r="D905" s="21" t="n"/>
      <c r="E905" s="21" t="n"/>
      <c r="F905" s="28" t="n"/>
      <c r="G905" s="28" t="n"/>
      <c r="H905" s="26" t="n"/>
      <c r="I905" s="10">
        <f>IF(H905&lt;&gt;"",H905,IF(AND(F905&lt;&gt;"",G905&lt;&gt;""),ROUND((G905-F905)*1440,0),""))</f>
        <v/>
      </c>
      <c r="J905" s="26" t="n"/>
      <c r="K905" s="9">
        <f>IF(D905="","",IFERROR(VLOOKUP(D905,参数!$A$5:$C$24,2,0),""))</f>
        <v/>
      </c>
      <c r="L905" s="9">
        <f>IF(D905="","",IFERROR(VLOOKUP(D905,参数!$A$5:$C$24,3,0),""))</f>
        <v/>
      </c>
      <c r="M905" s="21" t="n"/>
      <c r="N905" s="21" t="n"/>
      <c r="O905" s="21" t="n"/>
    </row>
    <row r="906">
      <c r="A906" s="24" t="n"/>
      <c r="B906" s="21" t="n"/>
      <c r="C906" s="21" t="n"/>
      <c r="D906" s="21" t="n"/>
      <c r="E906" s="21" t="n"/>
      <c r="F906" s="28" t="n"/>
      <c r="G906" s="28" t="n"/>
      <c r="H906" s="26" t="n"/>
      <c r="I906" s="10">
        <f>IF(H906&lt;&gt;"",H906,IF(AND(F906&lt;&gt;"",G906&lt;&gt;""),ROUND((G906-F906)*1440,0),""))</f>
        <v/>
      </c>
      <c r="J906" s="26" t="n"/>
      <c r="K906" s="9">
        <f>IF(D906="","",IFERROR(VLOOKUP(D906,参数!$A$5:$C$24,2,0),""))</f>
        <v/>
      </c>
      <c r="L906" s="9">
        <f>IF(D906="","",IFERROR(VLOOKUP(D906,参数!$A$5:$C$24,3,0),""))</f>
        <v/>
      </c>
      <c r="M906" s="21" t="n"/>
      <c r="N906" s="21" t="n"/>
      <c r="O906" s="21" t="n"/>
    </row>
    <row r="907">
      <c r="A907" s="24" t="n"/>
      <c r="B907" s="21" t="n"/>
      <c r="C907" s="21" t="n"/>
      <c r="D907" s="21" t="n"/>
      <c r="E907" s="21" t="n"/>
      <c r="F907" s="28" t="n"/>
      <c r="G907" s="28" t="n"/>
      <c r="H907" s="26" t="n"/>
      <c r="I907" s="10">
        <f>IF(H907&lt;&gt;"",H907,IF(AND(F907&lt;&gt;"",G907&lt;&gt;""),ROUND((G907-F907)*1440,0),""))</f>
        <v/>
      </c>
      <c r="J907" s="26" t="n"/>
      <c r="K907" s="9">
        <f>IF(D907="","",IFERROR(VLOOKUP(D907,参数!$A$5:$C$24,2,0),""))</f>
        <v/>
      </c>
      <c r="L907" s="9">
        <f>IF(D907="","",IFERROR(VLOOKUP(D907,参数!$A$5:$C$24,3,0),""))</f>
        <v/>
      </c>
      <c r="M907" s="21" t="n"/>
      <c r="N907" s="21" t="n"/>
      <c r="O907" s="21" t="n"/>
    </row>
    <row r="908">
      <c r="A908" s="24" t="n"/>
      <c r="B908" s="21" t="n"/>
      <c r="C908" s="21" t="n"/>
      <c r="D908" s="21" t="n"/>
      <c r="E908" s="21" t="n"/>
      <c r="F908" s="28" t="n"/>
      <c r="G908" s="28" t="n"/>
      <c r="H908" s="26" t="n"/>
      <c r="I908" s="10">
        <f>IF(H908&lt;&gt;"",H908,IF(AND(F908&lt;&gt;"",G908&lt;&gt;""),ROUND((G908-F908)*1440,0),""))</f>
        <v/>
      </c>
      <c r="J908" s="26" t="n"/>
      <c r="K908" s="9">
        <f>IF(D908="","",IFERROR(VLOOKUP(D908,参数!$A$5:$C$24,2,0),""))</f>
        <v/>
      </c>
      <c r="L908" s="9">
        <f>IF(D908="","",IFERROR(VLOOKUP(D908,参数!$A$5:$C$24,3,0),""))</f>
        <v/>
      </c>
      <c r="M908" s="21" t="n"/>
      <c r="N908" s="21" t="n"/>
      <c r="O908" s="21" t="n"/>
    </row>
    <row r="909">
      <c r="A909" s="24" t="n"/>
      <c r="B909" s="21" t="n"/>
      <c r="C909" s="21" t="n"/>
      <c r="D909" s="21" t="n"/>
      <c r="E909" s="21" t="n"/>
      <c r="F909" s="28" t="n"/>
      <c r="G909" s="28" t="n"/>
      <c r="H909" s="26" t="n"/>
      <c r="I909" s="10">
        <f>IF(H909&lt;&gt;"",H909,IF(AND(F909&lt;&gt;"",G909&lt;&gt;""),ROUND((G909-F909)*1440,0),""))</f>
        <v/>
      </c>
      <c r="J909" s="26" t="n"/>
      <c r="K909" s="9">
        <f>IF(D909="","",IFERROR(VLOOKUP(D909,参数!$A$5:$C$24,2,0),""))</f>
        <v/>
      </c>
      <c r="L909" s="9">
        <f>IF(D909="","",IFERROR(VLOOKUP(D909,参数!$A$5:$C$24,3,0),""))</f>
        <v/>
      </c>
      <c r="M909" s="21" t="n"/>
      <c r="N909" s="21" t="n"/>
      <c r="O909" s="21" t="n"/>
    </row>
    <row r="910">
      <c r="A910" s="24" t="n"/>
      <c r="B910" s="21" t="n"/>
      <c r="C910" s="21" t="n"/>
      <c r="D910" s="21" t="n"/>
      <c r="E910" s="21" t="n"/>
      <c r="F910" s="28" t="n"/>
      <c r="G910" s="28" t="n"/>
      <c r="H910" s="26" t="n"/>
      <c r="I910" s="10">
        <f>IF(H910&lt;&gt;"",H910,IF(AND(F910&lt;&gt;"",G910&lt;&gt;""),ROUND((G910-F910)*1440,0),""))</f>
        <v/>
      </c>
      <c r="J910" s="26" t="n"/>
      <c r="K910" s="9">
        <f>IF(D910="","",IFERROR(VLOOKUP(D910,参数!$A$5:$C$24,2,0),""))</f>
        <v/>
      </c>
      <c r="L910" s="9">
        <f>IF(D910="","",IFERROR(VLOOKUP(D910,参数!$A$5:$C$24,3,0),""))</f>
        <v/>
      </c>
      <c r="M910" s="21" t="n"/>
      <c r="N910" s="21" t="n"/>
      <c r="O910" s="21" t="n"/>
    </row>
    <row r="911">
      <c r="A911" s="24" t="n"/>
      <c r="B911" s="21" t="n"/>
      <c r="C911" s="21" t="n"/>
      <c r="D911" s="21" t="n"/>
      <c r="E911" s="21" t="n"/>
      <c r="F911" s="28" t="n"/>
      <c r="G911" s="28" t="n"/>
      <c r="H911" s="26" t="n"/>
      <c r="I911" s="10">
        <f>IF(H911&lt;&gt;"",H911,IF(AND(F911&lt;&gt;"",G911&lt;&gt;""),ROUND((G911-F911)*1440,0),""))</f>
        <v/>
      </c>
      <c r="J911" s="26" t="n"/>
      <c r="K911" s="9">
        <f>IF(D911="","",IFERROR(VLOOKUP(D911,参数!$A$5:$C$24,2,0),""))</f>
        <v/>
      </c>
      <c r="L911" s="9">
        <f>IF(D911="","",IFERROR(VLOOKUP(D911,参数!$A$5:$C$24,3,0),""))</f>
        <v/>
      </c>
      <c r="M911" s="21" t="n"/>
      <c r="N911" s="21" t="n"/>
      <c r="O911" s="21" t="n"/>
    </row>
    <row r="912">
      <c r="A912" s="24" t="n"/>
      <c r="B912" s="21" t="n"/>
      <c r="C912" s="21" t="n"/>
      <c r="D912" s="21" t="n"/>
      <c r="E912" s="21" t="n"/>
      <c r="F912" s="28" t="n"/>
      <c r="G912" s="28" t="n"/>
      <c r="H912" s="26" t="n"/>
      <c r="I912" s="10">
        <f>IF(H912&lt;&gt;"",H912,IF(AND(F912&lt;&gt;"",G912&lt;&gt;""),ROUND((G912-F912)*1440,0),""))</f>
        <v/>
      </c>
      <c r="J912" s="26" t="n"/>
      <c r="K912" s="9">
        <f>IF(D912="","",IFERROR(VLOOKUP(D912,参数!$A$5:$C$24,2,0),""))</f>
        <v/>
      </c>
      <c r="L912" s="9">
        <f>IF(D912="","",IFERROR(VLOOKUP(D912,参数!$A$5:$C$24,3,0),""))</f>
        <v/>
      </c>
      <c r="M912" s="21" t="n"/>
      <c r="N912" s="21" t="n"/>
      <c r="O912" s="21" t="n"/>
    </row>
    <row r="913">
      <c r="A913" s="24" t="n"/>
      <c r="B913" s="21" t="n"/>
      <c r="C913" s="21" t="n"/>
      <c r="D913" s="21" t="n"/>
      <c r="E913" s="21" t="n"/>
      <c r="F913" s="28" t="n"/>
      <c r="G913" s="28" t="n"/>
      <c r="H913" s="26" t="n"/>
      <c r="I913" s="10">
        <f>IF(H913&lt;&gt;"",H913,IF(AND(F913&lt;&gt;"",G913&lt;&gt;""),ROUND((G913-F913)*1440,0),""))</f>
        <v/>
      </c>
      <c r="J913" s="26" t="n"/>
      <c r="K913" s="9">
        <f>IF(D913="","",IFERROR(VLOOKUP(D913,参数!$A$5:$C$24,2,0),""))</f>
        <v/>
      </c>
      <c r="L913" s="9">
        <f>IF(D913="","",IFERROR(VLOOKUP(D913,参数!$A$5:$C$24,3,0),""))</f>
        <v/>
      </c>
      <c r="M913" s="21" t="n"/>
      <c r="N913" s="21" t="n"/>
      <c r="O913" s="21" t="n"/>
    </row>
    <row r="914">
      <c r="A914" s="24" t="n"/>
      <c r="B914" s="21" t="n"/>
      <c r="C914" s="21" t="n"/>
      <c r="D914" s="21" t="n"/>
      <c r="E914" s="21" t="n"/>
      <c r="F914" s="28" t="n"/>
      <c r="G914" s="28" t="n"/>
      <c r="H914" s="26" t="n"/>
      <c r="I914" s="10">
        <f>IF(H914&lt;&gt;"",H914,IF(AND(F914&lt;&gt;"",G914&lt;&gt;""),ROUND((G914-F914)*1440,0),""))</f>
        <v/>
      </c>
      <c r="J914" s="26" t="n"/>
      <c r="K914" s="9">
        <f>IF(D914="","",IFERROR(VLOOKUP(D914,参数!$A$5:$C$24,2,0),""))</f>
        <v/>
      </c>
      <c r="L914" s="9">
        <f>IF(D914="","",IFERROR(VLOOKUP(D914,参数!$A$5:$C$24,3,0),""))</f>
        <v/>
      </c>
      <c r="M914" s="21" t="n"/>
      <c r="N914" s="21" t="n"/>
      <c r="O914" s="21" t="n"/>
    </row>
    <row r="915">
      <c r="A915" s="24" t="n"/>
      <c r="B915" s="21" t="n"/>
      <c r="C915" s="21" t="n"/>
      <c r="D915" s="21" t="n"/>
      <c r="E915" s="21" t="n"/>
      <c r="F915" s="28" t="n"/>
      <c r="G915" s="28" t="n"/>
      <c r="H915" s="26" t="n"/>
      <c r="I915" s="10">
        <f>IF(H915&lt;&gt;"",H915,IF(AND(F915&lt;&gt;"",G915&lt;&gt;""),ROUND((G915-F915)*1440,0),""))</f>
        <v/>
      </c>
      <c r="J915" s="26" t="n"/>
      <c r="K915" s="9">
        <f>IF(D915="","",IFERROR(VLOOKUP(D915,参数!$A$5:$C$24,2,0),""))</f>
        <v/>
      </c>
      <c r="L915" s="9">
        <f>IF(D915="","",IFERROR(VLOOKUP(D915,参数!$A$5:$C$24,3,0),""))</f>
        <v/>
      </c>
      <c r="M915" s="21" t="n"/>
      <c r="N915" s="21" t="n"/>
      <c r="O915" s="21" t="n"/>
    </row>
    <row r="916">
      <c r="A916" s="24" t="n"/>
      <c r="B916" s="21" t="n"/>
      <c r="C916" s="21" t="n"/>
      <c r="D916" s="21" t="n"/>
      <c r="E916" s="21" t="n"/>
      <c r="F916" s="28" t="n"/>
      <c r="G916" s="28" t="n"/>
      <c r="H916" s="26" t="n"/>
      <c r="I916" s="10">
        <f>IF(H916&lt;&gt;"",H916,IF(AND(F916&lt;&gt;"",G916&lt;&gt;""),ROUND((G916-F916)*1440,0),""))</f>
        <v/>
      </c>
      <c r="J916" s="26" t="n"/>
      <c r="K916" s="9">
        <f>IF(D916="","",IFERROR(VLOOKUP(D916,参数!$A$5:$C$24,2,0),""))</f>
        <v/>
      </c>
      <c r="L916" s="9">
        <f>IF(D916="","",IFERROR(VLOOKUP(D916,参数!$A$5:$C$24,3,0),""))</f>
        <v/>
      </c>
      <c r="M916" s="21" t="n"/>
      <c r="N916" s="21" t="n"/>
      <c r="O916" s="21" t="n"/>
    </row>
    <row r="917">
      <c r="A917" s="24" t="n"/>
      <c r="B917" s="21" t="n"/>
      <c r="C917" s="21" t="n"/>
      <c r="D917" s="21" t="n"/>
      <c r="E917" s="21" t="n"/>
      <c r="F917" s="28" t="n"/>
      <c r="G917" s="28" t="n"/>
      <c r="H917" s="26" t="n"/>
      <c r="I917" s="10">
        <f>IF(H917&lt;&gt;"",H917,IF(AND(F917&lt;&gt;"",G917&lt;&gt;""),ROUND((G917-F917)*1440,0),""))</f>
        <v/>
      </c>
      <c r="J917" s="26" t="n"/>
      <c r="K917" s="9">
        <f>IF(D917="","",IFERROR(VLOOKUP(D917,参数!$A$5:$C$24,2,0),""))</f>
        <v/>
      </c>
      <c r="L917" s="9">
        <f>IF(D917="","",IFERROR(VLOOKUP(D917,参数!$A$5:$C$24,3,0),""))</f>
        <v/>
      </c>
      <c r="M917" s="21" t="n"/>
      <c r="N917" s="21" t="n"/>
      <c r="O917" s="21" t="n"/>
    </row>
    <row r="918">
      <c r="A918" s="24" t="n"/>
      <c r="B918" s="21" t="n"/>
      <c r="C918" s="21" t="n"/>
      <c r="D918" s="21" t="n"/>
      <c r="E918" s="21" t="n"/>
      <c r="F918" s="28" t="n"/>
      <c r="G918" s="28" t="n"/>
      <c r="H918" s="26" t="n"/>
      <c r="I918" s="10">
        <f>IF(H918&lt;&gt;"",H918,IF(AND(F918&lt;&gt;"",G918&lt;&gt;""),ROUND((G918-F918)*1440,0),""))</f>
        <v/>
      </c>
      <c r="J918" s="26" t="n"/>
      <c r="K918" s="9">
        <f>IF(D918="","",IFERROR(VLOOKUP(D918,参数!$A$5:$C$24,2,0),""))</f>
        <v/>
      </c>
      <c r="L918" s="9">
        <f>IF(D918="","",IFERROR(VLOOKUP(D918,参数!$A$5:$C$24,3,0),""))</f>
        <v/>
      </c>
      <c r="M918" s="21" t="n"/>
      <c r="N918" s="21" t="n"/>
      <c r="O918" s="21" t="n"/>
    </row>
    <row r="919">
      <c r="A919" s="24" t="n"/>
      <c r="B919" s="21" t="n"/>
      <c r="C919" s="21" t="n"/>
      <c r="D919" s="21" t="n"/>
      <c r="E919" s="21" t="n"/>
      <c r="F919" s="28" t="n"/>
      <c r="G919" s="28" t="n"/>
      <c r="H919" s="26" t="n"/>
      <c r="I919" s="10">
        <f>IF(H919&lt;&gt;"",H919,IF(AND(F919&lt;&gt;"",G919&lt;&gt;""),ROUND((G919-F919)*1440,0),""))</f>
        <v/>
      </c>
      <c r="J919" s="26" t="n"/>
      <c r="K919" s="9">
        <f>IF(D919="","",IFERROR(VLOOKUP(D919,参数!$A$5:$C$24,2,0),""))</f>
        <v/>
      </c>
      <c r="L919" s="9">
        <f>IF(D919="","",IFERROR(VLOOKUP(D919,参数!$A$5:$C$24,3,0),""))</f>
        <v/>
      </c>
      <c r="M919" s="21" t="n"/>
      <c r="N919" s="21" t="n"/>
      <c r="O919" s="21" t="n"/>
    </row>
    <row r="920">
      <c r="A920" s="24" t="n"/>
      <c r="B920" s="21" t="n"/>
      <c r="C920" s="21" t="n"/>
      <c r="D920" s="21" t="n"/>
      <c r="E920" s="21" t="n"/>
      <c r="F920" s="28" t="n"/>
      <c r="G920" s="28" t="n"/>
      <c r="H920" s="26" t="n"/>
      <c r="I920" s="10">
        <f>IF(H920&lt;&gt;"",H920,IF(AND(F920&lt;&gt;"",G920&lt;&gt;""),ROUND((G920-F920)*1440,0),""))</f>
        <v/>
      </c>
      <c r="J920" s="26" t="n"/>
      <c r="K920" s="9">
        <f>IF(D920="","",IFERROR(VLOOKUP(D920,参数!$A$5:$C$24,2,0),""))</f>
        <v/>
      </c>
      <c r="L920" s="9">
        <f>IF(D920="","",IFERROR(VLOOKUP(D920,参数!$A$5:$C$24,3,0),""))</f>
        <v/>
      </c>
      <c r="M920" s="21" t="n"/>
      <c r="N920" s="21" t="n"/>
      <c r="O920" s="21" t="n"/>
    </row>
    <row r="921">
      <c r="A921" s="24" t="n"/>
      <c r="B921" s="21" t="n"/>
      <c r="C921" s="21" t="n"/>
      <c r="D921" s="21" t="n"/>
      <c r="E921" s="21" t="n"/>
      <c r="F921" s="28" t="n"/>
      <c r="G921" s="28" t="n"/>
      <c r="H921" s="26" t="n"/>
      <c r="I921" s="10">
        <f>IF(H921&lt;&gt;"",H921,IF(AND(F921&lt;&gt;"",G921&lt;&gt;""),ROUND((G921-F921)*1440,0),""))</f>
        <v/>
      </c>
      <c r="J921" s="26" t="n"/>
      <c r="K921" s="9">
        <f>IF(D921="","",IFERROR(VLOOKUP(D921,参数!$A$5:$C$24,2,0),""))</f>
        <v/>
      </c>
      <c r="L921" s="9">
        <f>IF(D921="","",IFERROR(VLOOKUP(D921,参数!$A$5:$C$24,3,0),""))</f>
        <v/>
      </c>
      <c r="M921" s="21" t="n"/>
      <c r="N921" s="21" t="n"/>
      <c r="O921" s="21" t="n"/>
    </row>
    <row r="922">
      <c r="A922" s="24" t="n"/>
      <c r="B922" s="21" t="n"/>
      <c r="C922" s="21" t="n"/>
      <c r="D922" s="21" t="n"/>
      <c r="E922" s="21" t="n"/>
      <c r="F922" s="28" t="n"/>
      <c r="G922" s="28" t="n"/>
      <c r="H922" s="26" t="n"/>
      <c r="I922" s="10">
        <f>IF(H922&lt;&gt;"",H922,IF(AND(F922&lt;&gt;"",G922&lt;&gt;""),ROUND((G922-F922)*1440,0),""))</f>
        <v/>
      </c>
      <c r="J922" s="26" t="n"/>
      <c r="K922" s="9">
        <f>IF(D922="","",IFERROR(VLOOKUP(D922,参数!$A$5:$C$24,2,0),""))</f>
        <v/>
      </c>
      <c r="L922" s="9">
        <f>IF(D922="","",IFERROR(VLOOKUP(D922,参数!$A$5:$C$24,3,0),""))</f>
        <v/>
      </c>
      <c r="M922" s="21" t="n"/>
      <c r="N922" s="21" t="n"/>
      <c r="O922" s="21" t="n"/>
    </row>
    <row r="923">
      <c r="A923" s="24" t="n"/>
      <c r="B923" s="21" t="n"/>
      <c r="C923" s="21" t="n"/>
      <c r="D923" s="21" t="n"/>
      <c r="E923" s="21" t="n"/>
      <c r="F923" s="28" t="n"/>
      <c r="G923" s="28" t="n"/>
      <c r="H923" s="26" t="n"/>
      <c r="I923" s="10">
        <f>IF(H923&lt;&gt;"",H923,IF(AND(F923&lt;&gt;"",G923&lt;&gt;""),ROUND((G923-F923)*1440,0),""))</f>
        <v/>
      </c>
      <c r="J923" s="26" t="n"/>
      <c r="K923" s="9">
        <f>IF(D923="","",IFERROR(VLOOKUP(D923,参数!$A$5:$C$24,2,0),""))</f>
        <v/>
      </c>
      <c r="L923" s="9">
        <f>IF(D923="","",IFERROR(VLOOKUP(D923,参数!$A$5:$C$24,3,0),""))</f>
        <v/>
      </c>
      <c r="M923" s="21" t="n"/>
      <c r="N923" s="21" t="n"/>
      <c r="O923" s="21" t="n"/>
    </row>
    <row r="924">
      <c r="A924" s="24" t="n"/>
      <c r="B924" s="21" t="n"/>
      <c r="C924" s="21" t="n"/>
      <c r="D924" s="21" t="n"/>
      <c r="E924" s="21" t="n"/>
      <c r="F924" s="28" t="n"/>
      <c r="G924" s="28" t="n"/>
      <c r="H924" s="26" t="n"/>
      <c r="I924" s="10">
        <f>IF(H924&lt;&gt;"",H924,IF(AND(F924&lt;&gt;"",G924&lt;&gt;""),ROUND((G924-F924)*1440,0),""))</f>
        <v/>
      </c>
      <c r="J924" s="26" t="n"/>
      <c r="K924" s="9">
        <f>IF(D924="","",IFERROR(VLOOKUP(D924,参数!$A$5:$C$24,2,0),""))</f>
        <v/>
      </c>
      <c r="L924" s="9">
        <f>IF(D924="","",IFERROR(VLOOKUP(D924,参数!$A$5:$C$24,3,0),""))</f>
        <v/>
      </c>
      <c r="M924" s="21" t="n"/>
      <c r="N924" s="21" t="n"/>
      <c r="O924" s="21" t="n"/>
    </row>
    <row r="925">
      <c r="A925" s="24" t="n"/>
      <c r="B925" s="21" t="n"/>
      <c r="C925" s="21" t="n"/>
      <c r="D925" s="21" t="n"/>
      <c r="E925" s="21" t="n"/>
      <c r="F925" s="28" t="n"/>
      <c r="G925" s="28" t="n"/>
      <c r="H925" s="26" t="n"/>
      <c r="I925" s="10">
        <f>IF(H925&lt;&gt;"",H925,IF(AND(F925&lt;&gt;"",G925&lt;&gt;""),ROUND((G925-F925)*1440,0),""))</f>
        <v/>
      </c>
      <c r="J925" s="26" t="n"/>
      <c r="K925" s="9">
        <f>IF(D925="","",IFERROR(VLOOKUP(D925,参数!$A$5:$C$24,2,0),""))</f>
        <v/>
      </c>
      <c r="L925" s="9">
        <f>IF(D925="","",IFERROR(VLOOKUP(D925,参数!$A$5:$C$24,3,0),""))</f>
        <v/>
      </c>
      <c r="M925" s="21" t="n"/>
      <c r="N925" s="21" t="n"/>
      <c r="O925" s="21" t="n"/>
    </row>
    <row r="926">
      <c r="A926" s="24" t="n"/>
      <c r="B926" s="21" t="n"/>
      <c r="C926" s="21" t="n"/>
      <c r="D926" s="21" t="n"/>
      <c r="E926" s="21" t="n"/>
      <c r="F926" s="28" t="n"/>
      <c r="G926" s="28" t="n"/>
      <c r="H926" s="26" t="n"/>
      <c r="I926" s="10">
        <f>IF(H926&lt;&gt;"",H926,IF(AND(F926&lt;&gt;"",G926&lt;&gt;""),ROUND((G926-F926)*1440,0),""))</f>
        <v/>
      </c>
      <c r="J926" s="26" t="n"/>
      <c r="K926" s="9">
        <f>IF(D926="","",IFERROR(VLOOKUP(D926,参数!$A$5:$C$24,2,0),""))</f>
        <v/>
      </c>
      <c r="L926" s="9">
        <f>IF(D926="","",IFERROR(VLOOKUP(D926,参数!$A$5:$C$24,3,0),""))</f>
        <v/>
      </c>
      <c r="M926" s="21" t="n"/>
      <c r="N926" s="21" t="n"/>
      <c r="O926" s="21" t="n"/>
    </row>
    <row r="927">
      <c r="A927" s="24" t="n"/>
      <c r="B927" s="21" t="n"/>
      <c r="C927" s="21" t="n"/>
      <c r="D927" s="21" t="n"/>
      <c r="E927" s="21" t="n"/>
      <c r="F927" s="28" t="n"/>
      <c r="G927" s="28" t="n"/>
      <c r="H927" s="26" t="n"/>
      <c r="I927" s="10">
        <f>IF(H927&lt;&gt;"",H927,IF(AND(F927&lt;&gt;"",G927&lt;&gt;""),ROUND((G927-F927)*1440,0),""))</f>
        <v/>
      </c>
      <c r="J927" s="26" t="n"/>
      <c r="K927" s="9">
        <f>IF(D927="","",IFERROR(VLOOKUP(D927,参数!$A$5:$C$24,2,0),""))</f>
        <v/>
      </c>
      <c r="L927" s="9">
        <f>IF(D927="","",IFERROR(VLOOKUP(D927,参数!$A$5:$C$24,3,0),""))</f>
        <v/>
      </c>
      <c r="M927" s="21" t="n"/>
      <c r="N927" s="21" t="n"/>
      <c r="O927" s="21" t="n"/>
    </row>
    <row r="928">
      <c r="A928" s="24" t="n"/>
      <c r="B928" s="21" t="n"/>
      <c r="C928" s="21" t="n"/>
      <c r="D928" s="21" t="n"/>
      <c r="E928" s="21" t="n"/>
      <c r="F928" s="28" t="n"/>
      <c r="G928" s="28" t="n"/>
      <c r="H928" s="26" t="n"/>
      <c r="I928" s="10">
        <f>IF(H928&lt;&gt;"",H928,IF(AND(F928&lt;&gt;"",G928&lt;&gt;""),ROUND((G928-F928)*1440,0),""))</f>
        <v/>
      </c>
      <c r="J928" s="26" t="n"/>
      <c r="K928" s="9">
        <f>IF(D928="","",IFERROR(VLOOKUP(D928,参数!$A$5:$C$24,2,0),""))</f>
        <v/>
      </c>
      <c r="L928" s="9">
        <f>IF(D928="","",IFERROR(VLOOKUP(D928,参数!$A$5:$C$24,3,0),""))</f>
        <v/>
      </c>
      <c r="M928" s="21" t="n"/>
      <c r="N928" s="21" t="n"/>
      <c r="O928" s="21" t="n"/>
    </row>
    <row r="929">
      <c r="A929" s="24" t="n"/>
      <c r="B929" s="21" t="n"/>
      <c r="C929" s="21" t="n"/>
      <c r="D929" s="21" t="n"/>
      <c r="E929" s="21" t="n"/>
      <c r="F929" s="28" t="n"/>
      <c r="G929" s="28" t="n"/>
      <c r="H929" s="26" t="n"/>
      <c r="I929" s="10">
        <f>IF(H929&lt;&gt;"",H929,IF(AND(F929&lt;&gt;"",G929&lt;&gt;""),ROUND((G929-F929)*1440,0),""))</f>
        <v/>
      </c>
      <c r="J929" s="26" t="n"/>
      <c r="K929" s="9">
        <f>IF(D929="","",IFERROR(VLOOKUP(D929,参数!$A$5:$C$24,2,0),""))</f>
        <v/>
      </c>
      <c r="L929" s="9">
        <f>IF(D929="","",IFERROR(VLOOKUP(D929,参数!$A$5:$C$24,3,0),""))</f>
        <v/>
      </c>
      <c r="M929" s="21" t="n"/>
      <c r="N929" s="21" t="n"/>
      <c r="O929" s="21" t="n"/>
    </row>
    <row r="930">
      <c r="A930" s="24" t="n"/>
      <c r="B930" s="21" t="n"/>
      <c r="C930" s="21" t="n"/>
      <c r="D930" s="21" t="n"/>
      <c r="E930" s="21" t="n"/>
      <c r="F930" s="28" t="n"/>
      <c r="G930" s="28" t="n"/>
      <c r="H930" s="26" t="n"/>
      <c r="I930" s="10">
        <f>IF(H930&lt;&gt;"",H930,IF(AND(F930&lt;&gt;"",G930&lt;&gt;""),ROUND((G930-F930)*1440,0),""))</f>
        <v/>
      </c>
      <c r="J930" s="26" t="n"/>
      <c r="K930" s="9">
        <f>IF(D930="","",IFERROR(VLOOKUP(D930,参数!$A$5:$C$24,2,0),""))</f>
        <v/>
      </c>
      <c r="L930" s="9">
        <f>IF(D930="","",IFERROR(VLOOKUP(D930,参数!$A$5:$C$24,3,0),""))</f>
        <v/>
      </c>
      <c r="M930" s="21" t="n"/>
      <c r="N930" s="21" t="n"/>
      <c r="O930" s="21" t="n"/>
    </row>
    <row r="931">
      <c r="A931" s="24" t="n"/>
      <c r="B931" s="21" t="n"/>
      <c r="C931" s="21" t="n"/>
      <c r="D931" s="21" t="n"/>
      <c r="E931" s="21" t="n"/>
      <c r="F931" s="28" t="n"/>
      <c r="G931" s="28" t="n"/>
      <c r="H931" s="26" t="n"/>
      <c r="I931" s="10">
        <f>IF(H931&lt;&gt;"",H931,IF(AND(F931&lt;&gt;"",G931&lt;&gt;""),ROUND((G931-F931)*1440,0),""))</f>
        <v/>
      </c>
      <c r="J931" s="26" t="n"/>
      <c r="K931" s="9">
        <f>IF(D931="","",IFERROR(VLOOKUP(D931,参数!$A$5:$C$24,2,0),""))</f>
        <v/>
      </c>
      <c r="L931" s="9">
        <f>IF(D931="","",IFERROR(VLOOKUP(D931,参数!$A$5:$C$24,3,0),""))</f>
        <v/>
      </c>
      <c r="M931" s="21" t="n"/>
      <c r="N931" s="21" t="n"/>
      <c r="O931" s="21" t="n"/>
    </row>
    <row r="932">
      <c r="A932" s="24" t="n"/>
      <c r="B932" s="21" t="n"/>
      <c r="C932" s="21" t="n"/>
      <c r="D932" s="21" t="n"/>
      <c r="E932" s="21" t="n"/>
      <c r="F932" s="28" t="n"/>
      <c r="G932" s="28" t="n"/>
      <c r="H932" s="26" t="n"/>
      <c r="I932" s="10">
        <f>IF(H932&lt;&gt;"",H932,IF(AND(F932&lt;&gt;"",G932&lt;&gt;""),ROUND((G932-F932)*1440,0),""))</f>
        <v/>
      </c>
      <c r="J932" s="26" t="n"/>
      <c r="K932" s="9">
        <f>IF(D932="","",IFERROR(VLOOKUP(D932,参数!$A$5:$C$24,2,0),""))</f>
        <v/>
      </c>
      <c r="L932" s="9">
        <f>IF(D932="","",IFERROR(VLOOKUP(D932,参数!$A$5:$C$24,3,0),""))</f>
        <v/>
      </c>
      <c r="M932" s="21" t="n"/>
      <c r="N932" s="21" t="n"/>
      <c r="O932" s="21" t="n"/>
    </row>
    <row r="933">
      <c r="A933" s="24" t="n"/>
      <c r="B933" s="21" t="n"/>
      <c r="C933" s="21" t="n"/>
      <c r="D933" s="21" t="n"/>
      <c r="E933" s="21" t="n"/>
      <c r="F933" s="28" t="n"/>
      <c r="G933" s="28" t="n"/>
      <c r="H933" s="26" t="n"/>
      <c r="I933" s="10">
        <f>IF(H933&lt;&gt;"",H933,IF(AND(F933&lt;&gt;"",G933&lt;&gt;""),ROUND((G933-F933)*1440,0),""))</f>
        <v/>
      </c>
      <c r="J933" s="26" t="n"/>
      <c r="K933" s="9">
        <f>IF(D933="","",IFERROR(VLOOKUP(D933,参数!$A$5:$C$24,2,0),""))</f>
        <v/>
      </c>
      <c r="L933" s="9">
        <f>IF(D933="","",IFERROR(VLOOKUP(D933,参数!$A$5:$C$24,3,0),""))</f>
        <v/>
      </c>
      <c r="M933" s="21" t="n"/>
      <c r="N933" s="21" t="n"/>
      <c r="O933" s="21" t="n"/>
    </row>
    <row r="934">
      <c r="A934" s="24" t="n"/>
      <c r="B934" s="21" t="n"/>
      <c r="C934" s="21" t="n"/>
      <c r="D934" s="21" t="n"/>
      <c r="E934" s="21" t="n"/>
      <c r="F934" s="28" t="n"/>
      <c r="G934" s="28" t="n"/>
      <c r="H934" s="26" t="n"/>
      <c r="I934" s="10">
        <f>IF(H934&lt;&gt;"",H934,IF(AND(F934&lt;&gt;"",G934&lt;&gt;""),ROUND((G934-F934)*1440,0),""))</f>
        <v/>
      </c>
      <c r="J934" s="26" t="n"/>
      <c r="K934" s="9">
        <f>IF(D934="","",IFERROR(VLOOKUP(D934,参数!$A$5:$C$24,2,0),""))</f>
        <v/>
      </c>
      <c r="L934" s="9">
        <f>IF(D934="","",IFERROR(VLOOKUP(D934,参数!$A$5:$C$24,3,0),""))</f>
        <v/>
      </c>
      <c r="M934" s="21" t="n"/>
      <c r="N934" s="21" t="n"/>
      <c r="O934" s="21" t="n"/>
    </row>
    <row r="935">
      <c r="A935" s="24" t="n"/>
      <c r="B935" s="21" t="n"/>
      <c r="C935" s="21" t="n"/>
      <c r="D935" s="21" t="n"/>
      <c r="E935" s="21" t="n"/>
      <c r="F935" s="28" t="n"/>
      <c r="G935" s="28" t="n"/>
      <c r="H935" s="26" t="n"/>
      <c r="I935" s="10">
        <f>IF(H935&lt;&gt;"",H935,IF(AND(F935&lt;&gt;"",G935&lt;&gt;""),ROUND((G935-F935)*1440,0),""))</f>
        <v/>
      </c>
      <c r="J935" s="26" t="n"/>
      <c r="K935" s="9">
        <f>IF(D935="","",IFERROR(VLOOKUP(D935,参数!$A$5:$C$24,2,0),""))</f>
        <v/>
      </c>
      <c r="L935" s="9">
        <f>IF(D935="","",IFERROR(VLOOKUP(D935,参数!$A$5:$C$24,3,0),""))</f>
        <v/>
      </c>
      <c r="M935" s="21" t="n"/>
      <c r="N935" s="21" t="n"/>
      <c r="O935" s="21" t="n"/>
    </row>
    <row r="936">
      <c r="A936" s="24" t="n"/>
      <c r="B936" s="21" t="n"/>
      <c r="C936" s="21" t="n"/>
      <c r="D936" s="21" t="n"/>
      <c r="E936" s="21" t="n"/>
      <c r="F936" s="28" t="n"/>
      <c r="G936" s="28" t="n"/>
      <c r="H936" s="26" t="n"/>
      <c r="I936" s="10">
        <f>IF(H936&lt;&gt;"",H936,IF(AND(F936&lt;&gt;"",G936&lt;&gt;""),ROUND((G936-F936)*1440,0),""))</f>
        <v/>
      </c>
      <c r="J936" s="26" t="n"/>
      <c r="K936" s="9">
        <f>IF(D936="","",IFERROR(VLOOKUP(D936,参数!$A$5:$C$24,2,0),""))</f>
        <v/>
      </c>
      <c r="L936" s="9">
        <f>IF(D936="","",IFERROR(VLOOKUP(D936,参数!$A$5:$C$24,3,0),""))</f>
        <v/>
      </c>
      <c r="M936" s="21" t="n"/>
      <c r="N936" s="21" t="n"/>
      <c r="O936" s="21" t="n"/>
    </row>
    <row r="937">
      <c r="A937" s="24" t="n"/>
      <c r="B937" s="21" t="n"/>
      <c r="C937" s="21" t="n"/>
      <c r="D937" s="21" t="n"/>
      <c r="E937" s="21" t="n"/>
      <c r="F937" s="28" t="n"/>
      <c r="G937" s="28" t="n"/>
      <c r="H937" s="26" t="n"/>
      <c r="I937" s="10">
        <f>IF(H937&lt;&gt;"",H937,IF(AND(F937&lt;&gt;"",G937&lt;&gt;""),ROUND((G937-F937)*1440,0),""))</f>
        <v/>
      </c>
      <c r="J937" s="26" t="n"/>
      <c r="K937" s="9">
        <f>IF(D937="","",IFERROR(VLOOKUP(D937,参数!$A$5:$C$24,2,0),""))</f>
        <v/>
      </c>
      <c r="L937" s="9">
        <f>IF(D937="","",IFERROR(VLOOKUP(D937,参数!$A$5:$C$24,3,0),""))</f>
        <v/>
      </c>
      <c r="M937" s="21" t="n"/>
      <c r="N937" s="21" t="n"/>
      <c r="O937" s="21" t="n"/>
    </row>
    <row r="938">
      <c r="A938" s="24" t="n"/>
      <c r="B938" s="21" t="n"/>
      <c r="C938" s="21" t="n"/>
      <c r="D938" s="21" t="n"/>
      <c r="E938" s="21" t="n"/>
      <c r="F938" s="28" t="n"/>
      <c r="G938" s="28" t="n"/>
      <c r="H938" s="26" t="n"/>
      <c r="I938" s="10">
        <f>IF(H938&lt;&gt;"",H938,IF(AND(F938&lt;&gt;"",G938&lt;&gt;""),ROUND((G938-F938)*1440,0),""))</f>
        <v/>
      </c>
      <c r="J938" s="26" t="n"/>
      <c r="K938" s="9">
        <f>IF(D938="","",IFERROR(VLOOKUP(D938,参数!$A$5:$C$24,2,0),""))</f>
        <v/>
      </c>
      <c r="L938" s="9">
        <f>IF(D938="","",IFERROR(VLOOKUP(D938,参数!$A$5:$C$24,3,0),""))</f>
        <v/>
      </c>
      <c r="M938" s="21" t="n"/>
      <c r="N938" s="21" t="n"/>
      <c r="O938" s="21" t="n"/>
    </row>
    <row r="939">
      <c r="A939" s="24" t="n"/>
      <c r="B939" s="21" t="n"/>
      <c r="C939" s="21" t="n"/>
      <c r="D939" s="21" t="n"/>
      <c r="E939" s="21" t="n"/>
      <c r="F939" s="28" t="n"/>
      <c r="G939" s="28" t="n"/>
      <c r="H939" s="26" t="n"/>
      <c r="I939" s="10">
        <f>IF(H939&lt;&gt;"",H939,IF(AND(F939&lt;&gt;"",G939&lt;&gt;""),ROUND((G939-F939)*1440,0),""))</f>
        <v/>
      </c>
      <c r="J939" s="26" t="n"/>
      <c r="K939" s="9">
        <f>IF(D939="","",IFERROR(VLOOKUP(D939,参数!$A$5:$C$24,2,0),""))</f>
        <v/>
      </c>
      <c r="L939" s="9">
        <f>IF(D939="","",IFERROR(VLOOKUP(D939,参数!$A$5:$C$24,3,0),""))</f>
        <v/>
      </c>
      <c r="M939" s="21" t="n"/>
      <c r="N939" s="21" t="n"/>
      <c r="O939" s="21" t="n"/>
    </row>
    <row r="940">
      <c r="A940" s="24" t="n"/>
      <c r="B940" s="21" t="n"/>
      <c r="C940" s="21" t="n"/>
      <c r="D940" s="21" t="n"/>
      <c r="E940" s="21" t="n"/>
      <c r="F940" s="28" t="n"/>
      <c r="G940" s="28" t="n"/>
      <c r="H940" s="26" t="n"/>
      <c r="I940" s="10">
        <f>IF(H940&lt;&gt;"",H940,IF(AND(F940&lt;&gt;"",G940&lt;&gt;""),ROUND((G940-F940)*1440,0),""))</f>
        <v/>
      </c>
      <c r="J940" s="26" t="n"/>
      <c r="K940" s="9">
        <f>IF(D940="","",IFERROR(VLOOKUP(D940,参数!$A$5:$C$24,2,0),""))</f>
        <v/>
      </c>
      <c r="L940" s="9">
        <f>IF(D940="","",IFERROR(VLOOKUP(D940,参数!$A$5:$C$24,3,0),""))</f>
        <v/>
      </c>
      <c r="M940" s="21" t="n"/>
      <c r="N940" s="21" t="n"/>
      <c r="O940" s="21" t="n"/>
    </row>
    <row r="941">
      <c r="A941" s="24" t="n"/>
      <c r="B941" s="21" t="n"/>
      <c r="C941" s="21" t="n"/>
      <c r="D941" s="21" t="n"/>
      <c r="E941" s="21" t="n"/>
      <c r="F941" s="28" t="n"/>
      <c r="G941" s="28" t="n"/>
      <c r="H941" s="26" t="n"/>
      <c r="I941" s="10">
        <f>IF(H941&lt;&gt;"",H941,IF(AND(F941&lt;&gt;"",G941&lt;&gt;""),ROUND((G941-F941)*1440,0),""))</f>
        <v/>
      </c>
      <c r="J941" s="26" t="n"/>
      <c r="K941" s="9">
        <f>IF(D941="","",IFERROR(VLOOKUP(D941,参数!$A$5:$C$24,2,0),""))</f>
        <v/>
      </c>
      <c r="L941" s="9">
        <f>IF(D941="","",IFERROR(VLOOKUP(D941,参数!$A$5:$C$24,3,0),""))</f>
        <v/>
      </c>
      <c r="M941" s="21" t="n"/>
      <c r="N941" s="21" t="n"/>
      <c r="O941" s="21" t="n"/>
    </row>
    <row r="942">
      <c r="A942" s="24" t="n"/>
      <c r="B942" s="21" t="n"/>
      <c r="C942" s="21" t="n"/>
      <c r="D942" s="21" t="n"/>
      <c r="E942" s="21" t="n"/>
      <c r="F942" s="28" t="n"/>
      <c r="G942" s="28" t="n"/>
      <c r="H942" s="26" t="n"/>
      <c r="I942" s="10">
        <f>IF(H942&lt;&gt;"",H942,IF(AND(F942&lt;&gt;"",G942&lt;&gt;""),ROUND((G942-F942)*1440,0),""))</f>
        <v/>
      </c>
      <c r="J942" s="26" t="n"/>
      <c r="K942" s="9">
        <f>IF(D942="","",IFERROR(VLOOKUP(D942,参数!$A$5:$C$24,2,0),""))</f>
        <v/>
      </c>
      <c r="L942" s="9">
        <f>IF(D942="","",IFERROR(VLOOKUP(D942,参数!$A$5:$C$24,3,0),""))</f>
        <v/>
      </c>
      <c r="M942" s="21" t="n"/>
      <c r="N942" s="21" t="n"/>
      <c r="O942" s="21" t="n"/>
    </row>
    <row r="943">
      <c r="A943" s="24" t="n"/>
      <c r="B943" s="21" t="n"/>
      <c r="C943" s="21" t="n"/>
      <c r="D943" s="21" t="n"/>
      <c r="E943" s="21" t="n"/>
      <c r="F943" s="28" t="n"/>
      <c r="G943" s="28" t="n"/>
      <c r="H943" s="26" t="n"/>
      <c r="I943" s="10">
        <f>IF(H943&lt;&gt;"",H943,IF(AND(F943&lt;&gt;"",G943&lt;&gt;""),ROUND((G943-F943)*1440,0),""))</f>
        <v/>
      </c>
      <c r="J943" s="26" t="n"/>
      <c r="K943" s="9">
        <f>IF(D943="","",IFERROR(VLOOKUP(D943,参数!$A$5:$C$24,2,0),""))</f>
        <v/>
      </c>
      <c r="L943" s="9">
        <f>IF(D943="","",IFERROR(VLOOKUP(D943,参数!$A$5:$C$24,3,0),""))</f>
        <v/>
      </c>
      <c r="M943" s="21" t="n"/>
      <c r="N943" s="21" t="n"/>
      <c r="O943" s="21" t="n"/>
    </row>
    <row r="944">
      <c r="A944" s="24" t="n"/>
      <c r="B944" s="21" t="n"/>
      <c r="C944" s="21" t="n"/>
      <c r="D944" s="21" t="n"/>
      <c r="E944" s="21" t="n"/>
      <c r="F944" s="28" t="n"/>
      <c r="G944" s="28" t="n"/>
      <c r="H944" s="26" t="n"/>
      <c r="I944" s="10">
        <f>IF(H944&lt;&gt;"",H944,IF(AND(F944&lt;&gt;"",G944&lt;&gt;""),ROUND((G944-F944)*1440,0),""))</f>
        <v/>
      </c>
      <c r="J944" s="26" t="n"/>
      <c r="K944" s="9">
        <f>IF(D944="","",IFERROR(VLOOKUP(D944,参数!$A$5:$C$24,2,0),""))</f>
        <v/>
      </c>
      <c r="L944" s="9">
        <f>IF(D944="","",IFERROR(VLOOKUP(D944,参数!$A$5:$C$24,3,0),""))</f>
        <v/>
      </c>
      <c r="M944" s="21" t="n"/>
      <c r="N944" s="21" t="n"/>
      <c r="O944" s="21" t="n"/>
    </row>
    <row r="945">
      <c r="A945" s="24" t="n"/>
      <c r="B945" s="21" t="n"/>
      <c r="C945" s="21" t="n"/>
      <c r="D945" s="21" t="n"/>
      <c r="E945" s="21" t="n"/>
      <c r="F945" s="28" t="n"/>
      <c r="G945" s="28" t="n"/>
      <c r="H945" s="26" t="n"/>
      <c r="I945" s="10">
        <f>IF(H945&lt;&gt;"",H945,IF(AND(F945&lt;&gt;"",G945&lt;&gt;""),ROUND((G945-F945)*1440,0),""))</f>
        <v/>
      </c>
      <c r="J945" s="26" t="n"/>
      <c r="K945" s="9">
        <f>IF(D945="","",IFERROR(VLOOKUP(D945,参数!$A$5:$C$24,2,0),""))</f>
        <v/>
      </c>
      <c r="L945" s="9">
        <f>IF(D945="","",IFERROR(VLOOKUP(D945,参数!$A$5:$C$24,3,0),""))</f>
        <v/>
      </c>
      <c r="M945" s="21" t="n"/>
      <c r="N945" s="21" t="n"/>
      <c r="O945" s="21" t="n"/>
    </row>
    <row r="946">
      <c r="A946" s="24" t="n"/>
      <c r="B946" s="21" t="n"/>
      <c r="C946" s="21" t="n"/>
      <c r="D946" s="21" t="n"/>
      <c r="E946" s="21" t="n"/>
      <c r="F946" s="28" t="n"/>
      <c r="G946" s="28" t="n"/>
      <c r="H946" s="26" t="n"/>
      <c r="I946" s="10">
        <f>IF(H946&lt;&gt;"",H946,IF(AND(F946&lt;&gt;"",G946&lt;&gt;""),ROUND((G946-F946)*1440,0),""))</f>
        <v/>
      </c>
      <c r="J946" s="26" t="n"/>
      <c r="K946" s="9">
        <f>IF(D946="","",IFERROR(VLOOKUP(D946,参数!$A$5:$C$24,2,0),""))</f>
        <v/>
      </c>
      <c r="L946" s="9">
        <f>IF(D946="","",IFERROR(VLOOKUP(D946,参数!$A$5:$C$24,3,0),""))</f>
        <v/>
      </c>
      <c r="M946" s="21" t="n"/>
      <c r="N946" s="21" t="n"/>
      <c r="O946" s="21" t="n"/>
    </row>
    <row r="947">
      <c r="A947" s="24" t="n"/>
      <c r="B947" s="21" t="n"/>
      <c r="C947" s="21" t="n"/>
      <c r="D947" s="21" t="n"/>
      <c r="E947" s="21" t="n"/>
      <c r="F947" s="28" t="n"/>
      <c r="G947" s="28" t="n"/>
      <c r="H947" s="26" t="n"/>
      <c r="I947" s="10">
        <f>IF(H947&lt;&gt;"",H947,IF(AND(F947&lt;&gt;"",G947&lt;&gt;""),ROUND((G947-F947)*1440,0),""))</f>
        <v/>
      </c>
      <c r="J947" s="26" t="n"/>
      <c r="K947" s="9">
        <f>IF(D947="","",IFERROR(VLOOKUP(D947,参数!$A$5:$C$24,2,0),""))</f>
        <v/>
      </c>
      <c r="L947" s="9">
        <f>IF(D947="","",IFERROR(VLOOKUP(D947,参数!$A$5:$C$24,3,0),""))</f>
        <v/>
      </c>
      <c r="M947" s="21" t="n"/>
      <c r="N947" s="21" t="n"/>
      <c r="O947" s="21" t="n"/>
    </row>
    <row r="948">
      <c r="A948" s="24" t="n"/>
      <c r="B948" s="21" t="n"/>
      <c r="C948" s="21" t="n"/>
      <c r="D948" s="21" t="n"/>
      <c r="E948" s="21" t="n"/>
      <c r="F948" s="28" t="n"/>
      <c r="G948" s="28" t="n"/>
      <c r="H948" s="26" t="n"/>
      <c r="I948" s="10">
        <f>IF(H948&lt;&gt;"",H948,IF(AND(F948&lt;&gt;"",G948&lt;&gt;""),ROUND((G948-F948)*1440,0),""))</f>
        <v/>
      </c>
      <c r="J948" s="26" t="n"/>
      <c r="K948" s="9">
        <f>IF(D948="","",IFERROR(VLOOKUP(D948,参数!$A$5:$C$24,2,0),""))</f>
        <v/>
      </c>
      <c r="L948" s="9">
        <f>IF(D948="","",IFERROR(VLOOKUP(D948,参数!$A$5:$C$24,3,0),""))</f>
        <v/>
      </c>
      <c r="M948" s="21" t="n"/>
      <c r="N948" s="21" t="n"/>
      <c r="O948" s="21" t="n"/>
    </row>
    <row r="949">
      <c r="A949" s="24" t="n"/>
      <c r="B949" s="21" t="n"/>
      <c r="C949" s="21" t="n"/>
      <c r="D949" s="21" t="n"/>
      <c r="E949" s="21" t="n"/>
      <c r="F949" s="28" t="n"/>
      <c r="G949" s="28" t="n"/>
      <c r="H949" s="26" t="n"/>
      <c r="I949" s="10">
        <f>IF(H949&lt;&gt;"",H949,IF(AND(F949&lt;&gt;"",G949&lt;&gt;""),ROUND((G949-F949)*1440,0),""))</f>
        <v/>
      </c>
      <c r="J949" s="26" t="n"/>
      <c r="K949" s="9">
        <f>IF(D949="","",IFERROR(VLOOKUP(D949,参数!$A$5:$C$24,2,0),""))</f>
        <v/>
      </c>
      <c r="L949" s="9">
        <f>IF(D949="","",IFERROR(VLOOKUP(D949,参数!$A$5:$C$24,3,0),""))</f>
        <v/>
      </c>
      <c r="M949" s="21" t="n"/>
      <c r="N949" s="21" t="n"/>
      <c r="O949" s="21" t="n"/>
    </row>
    <row r="950">
      <c r="A950" s="24" t="n"/>
      <c r="B950" s="21" t="n"/>
      <c r="C950" s="21" t="n"/>
      <c r="D950" s="21" t="n"/>
      <c r="E950" s="21" t="n"/>
      <c r="F950" s="28" t="n"/>
      <c r="G950" s="28" t="n"/>
      <c r="H950" s="26" t="n"/>
      <c r="I950" s="10">
        <f>IF(H950&lt;&gt;"",H950,IF(AND(F950&lt;&gt;"",G950&lt;&gt;""),ROUND((G950-F950)*1440,0),""))</f>
        <v/>
      </c>
      <c r="J950" s="26" t="n"/>
      <c r="K950" s="9">
        <f>IF(D950="","",IFERROR(VLOOKUP(D950,参数!$A$5:$C$24,2,0),""))</f>
        <v/>
      </c>
      <c r="L950" s="9">
        <f>IF(D950="","",IFERROR(VLOOKUP(D950,参数!$A$5:$C$24,3,0),""))</f>
        <v/>
      </c>
      <c r="M950" s="21" t="n"/>
      <c r="N950" s="21" t="n"/>
      <c r="O950" s="21" t="n"/>
    </row>
    <row r="951">
      <c r="A951" s="24" t="n"/>
      <c r="B951" s="21" t="n"/>
      <c r="C951" s="21" t="n"/>
      <c r="D951" s="21" t="n"/>
      <c r="E951" s="21" t="n"/>
      <c r="F951" s="28" t="n"/>
      <c r="G951" s="28" t="n"/>
      <c r="H951" s="26" t="n"/>
      <c r="I951" s="10">
        <f>IF(H951&lt;&gt;"",H951,IF(AND(F951&lt;&gt;"",G951&lt;&gt;""),ROUND((G951-F951)*1440,0),""))</f>
        <v/>
      </c>
      <c r="J951" s="26" t="n"/>
      <c r="K951" s="9">
        <f>IF(D951="","",IFERROR(VLOOKUP(D951,参数!$A$5:$C$24,2,0),""))</f>
        <v/>
      </c>
      <c r="L951" s="9">
        <f>IF(D951="","",IFERROR(VLOOKUP(D951,参数!$A$5:$C$24,3,0),""))</f>
        <v/>
      </c>
      <c r="M951" s="21" t="n"/>
      <c r="N951" s="21" t="n"/>
      <c r="O951" s="21" t="n"/>
    </row>
    <row r="952">
      <c r="A952" s="24" t="n"/>
      <c r="B952" s="21" t="n"/>
      <c r="C952" s="21" t="n"/>
      <c r="D952" s="21" t="n"/>
      <c r="E952" s="21" t="n"/>
      <c r="F952" s="28" t="n"/>
      <c r="G952" s="28" t="n"/>
      <c r="H952" s="26" t="n"/>
      <c r="I952" s="10">
        <f>IF(H952&lt;&gt;"",H952,IF(AND(F952&lt;&gt;"",G952&lt;&gt;""),ROUND((G952-F952)*1440,0),""))</f>
        <v/>
      </c>
      <c r="J952" s="26" t="n"/>
      <c r="K952" s="9">
        <f>IF(D952="","",IFERROR(VLOOKUP(D952,参数!$A$5:$C$24,2,0),""))</f>
        <v/>
      </c>
      <c r="L952" s="9">
        <f>IF(D952="","",IFERROR(VLOOKUP(D952,参数!$A$5:$C$24,3,0),""))</f>
        <v/>
      </c>
      <c r="M952" s="21" t="n"/>
      <c r="N952" s="21" t="n"/>
      <c r="O952" s="21" t="n"/>
    </row>
    <row r="953">
      <c r="A953" s="24" t="n"/>
      <c r="B953" s="21" t="n"/>
      <c r="C953" s="21" t="n"/>
      <c r="D953" s="21" t="n"/>
      <c r="E953" s="21" t="n"/>
      <c r="F953" s="28" t="n"/>
      <c r="G953" s="28" t="n"/>
      <c r="H953" s="26" t="n"/>
      <c r="I953" s="10">
        <f>IF(H953&lt;&gt;"",H953,IF(AND(F953&lt;&gt;"",G953&lt;&gt;""),ROUND((G953-F953)*1440,0),""))</f>
        <v/>
      </c>
      <c r="J953" s="26" t="n"/>
      <c r="K953" s="9">
        <f>IF(D953="","",IFERROR(VLOOKUP(D953,参数!$A$5:$C$24,2,0),""))</f>
        <v/>
      </c>
      <c r="L953" s="9">
        <f>IF(D953="","",IFERROR(VLOOKUP(D953,参数!$A$5:$C$24,3,0),""))</f>
        <v/>
      </c>
      <c r="M953" s="21" t="n"/>
      <c r="N953" s="21" t="n"/>
      <c r="O953" s="21" t="n"/>
    </row>
    <row r="954">
      <c r="A954" s="24" t="n"/>
      <c r="B954" s="21" t="n"/>
      <c r="C954" s="21" t="n"/>
      <c r="D954" s="21" t="n"/>
      <c r="E954" s="21" t="n"/>
      <c r="F954" s="28" t="n"/>
      <c r="G954" s="28" t="n"/>
      <c r="H954" s="26" t="n"/>
      <c r="I954" s="10">
        <f>IF(H954&lt;&gt;"",H954,IF(AND(F954&lt;&gt;"",G954&lt;&gt;""),ROUND((G954-F954)*1440,0),""))</f>
        <v/>
      </c>
      <c r="J954" s="26" t="n"/>
      <c r="K954" s="9">
        <f>IF(D954="","",IFERROR(VLOOKUP(D954,参数!$A$5:$C$24,2,0),""))</f>
        <v/>
      </c>
      <c r="L954" s="9">
        <f>IF(D954="","",IFERROR(VLOOKUP(D954,参数!$A$5:$C$24,3,0),""))</f>
        <v/>
      </c>
      <c r="M954" s="21" t="n"/>
      <c r="N954" s="21" t="n"/>
      <c r="O954" s="21" t="n"/>
    </row>
    <row r="955">
      <c r="A955" s="24" t="n"/>
      <c r="B955" s="21" t="n"/>
      <c r="C955" s="21" t="n"/>
      <c r="D955" s="21" t="n"/>
      <c r="E955" s="21" t="n"/>
      <c r="F955" s="28" t="n"/>
      <c r="G955" s="28" t="n"/>
      <c r="H955" s="26" t="n"/>
      <c r="I955" s="10">
        <f>IF(H955&lt;&gt;"",H955,IF(AND(F955&lt;&gt;"",G955&lt;&gt;""),ROUND((G955-F955)*1440,0),""))</f>
        <v/>
      </c>
      <c r="J955" s="26" t="n"/>
      <c r="K955" s="9">
        <f>IF(D955="","",IFERROR(VLOOKUP(D955,参数!$A$5:$C$24,2,0),""))</f>
        <v/>
      </c>
      <c r="L955" s="9">
        <f>IF(D955="","",IFERROR(VLOOKUP(D955,参数!$A$5:$C$24,3,0),""))</f>
        <v/>
      </c>
      <c r="M955" s="21" t="n"/>
      <c r="N955" s="21" t="n"/>
      <c r="O955" s="21" t="n"/>
    </row>
    <row r="956">
      <c r="A956" s="24" t="n"/>
      <c r="B956" s="21" t="n"/>
      <c r="C956" s="21" t="n"/>
      <c r="D956" s="21" t="n"/>
      <c r="E956" s="21" t="n"/>
      <c r="F956" s="28" t="n"/>
      <c r="G956" s="28" t="n"/>
      <c r="H956" s="26" t="n"/>
      <c r="I956" s="10">
        <f>IF(H956&lt;&gt;"",H956,IF(AND(F956&lt;&gt;"",G956&lt;&gt;""),ROUND((G956-F956)*1440,0),""))</f>
        <v/>
      </c>
      <c r="J956" s="26" t="n"/>
      <c r="K956" s="9">
        <f>IF(D956="","",IFERROR(VLOOKUP(D956,参数!$A$5:$C$24,2,0),""))</f>
        <v/>
      </c>
      <c r="L956" s="9">
        <f>IF(D956="","",IFERROR(VLOOKUP(D956,参数!$A$5:$C$24,3,0),""))</f>
        <v/>
      </c>
      <c r="M956" s="21" t="n"/>
      <c r="N956" s="21" t="n"/>
      <c r="O956" s="21" t="n"/>
    </row>
    <row r="957">
      <c r="A957" s="24" t="n"/>
      <c r="B957" s="21" t="n"/>
      <c r="C957" s="21" t="n"/>
      <c r="D957" s="21" t="n"/>
      <c r="E957" s="21" t="n"/>
      <c r="F957" s="28" t="n"/>
      <c r="G957" s="28" t="n"/>
      <c r="H957" s="26" t="n"/>
      <c r="I957" s="10">
        <f>IF(H957&lt;&gt;"",H957,IF(AND(F957&lt;&gt;"",G957&lt;&gt;""),ROUND((G957-F957)*1440,0),""))</f>
        <v/>
      </c>
      <c r="J957" s="26" t="n"/>
      <c r="K957" s="9">
        <f>IF(D957="","",IFERROR(VLOOKUP(D957,参数!$A$5:$C$24,2,0),""))</f>
        <v/>
      </c>
      <c r="L957" s="9">
        <f>IF(D957="","",IFERROR(VLOOKUP(D957,参数!$A$5:$C$24,3,0),""))</f>
        <v/>
      </c>
      <c r="M957" s="21" t="n"/>
      <c r="N957" s="21" t="n"/>
      <c r="O957" s="21" t="n"/>
    </row>
    <row r="958">
      <c r="A958" s="24" t="n"/>
      <c r="B958" s="21" t="n"/>
      <c r="C958" s="21" t="n"/>
      <c r="D958" s="21" t="n"/>
      <c r="E958" s="21" t="n"/>
      <c r="F958" s="28" t="n"/>
      <c r="G958" s="28" t="n"/>
      <c r="H958" s="26" t="n"/>
      <c r="I958" s="10">
        <f>IF(H958&lt;&gt;"",H958,IF(AND(F958&lt;&gt;"",G958&lt;&gt;""),ROUND((G958-F958)*1440,0),""))</f>
        <v/>
      </c>
      <c r="J958" s="26" t="n"/>
      <c r="K958" s="9">
        <f>IF(D958="","",IFERROR(VLOOKUP(D958,参数!$A$5:$C$24,2,0),""))</f>
        <v/>
      </c>
      <c r="L958" s="9">
        <f>IF(D958="","",IFERROR(VLOOKUP(D958,参数!$A$5:$C$24,3,0),""))</f>
        <v/>
      </c>
      <c r="M958" s="21" t="n"/>
      <c r="N958" s="21" t="n"/>
      <c r="O958" s="21" t="n"/>
    </row>
    <row r="959">
      <c r="A959" s="24" t="n"/>
      <c r="B959" s="21" t="n"/>
      <c r="C959" s="21" t="n"/>
      <c r="D959" s="21" t="n"/>
      <c r="E959" s="21" t="n"/>
      <c r="F959" s="28" t="n"/>
      <c r="G959" s="28" t="n"/>
      <c r="H959" s="26" t="n"/>
      <c r="I959" s="10">
        <f>IF(H959&lt;&gt;"",H959,IF(AND(F959&lt;&gt;"",G959&lt;&gt;""),ROUND((G959-F959)*1440,0),""))</f>
        <v/>
      </c>
      <c r="J959" s="26" t="n"/>
      <c r="K959" s="9">
        <f>IF(D959="","",IFERROR(VLOOKUP(D959,参数!$A$5:$C$24,2,0),""))</f>
        <v/>
      </c>
      <c r="L959" s="9">
        <f>IF(D959="","",IFERROR(VLOOKUP(D959,参数!$A$5:$C$24,3,0),""))</f>
        <v/>
      </c>
      <c r="M959" s="21" t="n"/>
      <c r="N959" s="21" t="n"/>
      <c r="O959" s="21" t="n"/>
    </row>
    <row r="960">
      <c r="A960" s="24" t="n"/>
      <c r="B960" s="21" t="n"/>
      <c r="C960" s="21" t="n"/>
      <c r="D960" s="21" t="n"/>
      <c r="E960" s="21" t="n"/>
      <c r="F960" s="28" t="n"/>
      <c r="G960" s="28" t="n"/>
      <c r="H960" s="26" t="n"/>
      <c r="I960" s="10">
        <f>IF(H960&lt;&gt;"",H960,IF(AND(F960&lt;&gt;"",G960&lt;&gt;""),ROUND((G960-F960)*1440,0),""))</f>
        <v/>
      </c>
      <c r="J960" s="26" t="n"/>
      <c r="K960" s="9">
        <f>IF(D960="","",IFERROR(VLOOKUP(D960,参数!$A$5:$C$24,2,0),""))</f>
        <v/>
      </c>
      <c r="L960" s="9">
        <f>IF(D960="","",IFERROR(VLOOKUP(D960,参数!$A$5:$C$24,3,0),""))</f>
        <v/>
      </c>
      <c r="M960" s="21" t="n"/>
      <c r="N960" s="21" t="n"/>
      <c r="O960" s="21" t="n"/>
    </row>
    <row r="961">
      <c r="A961" s="24" t="n"/>
      <c r="B961" s="21" t="n"/>
      <c r="C961" s="21" t="n"/>
      <c r="D961" s="21" t="n"/>
      <c r="E961" s="21" t="n"/>
      <c r="F961" s="28" t="n"/>
      <c r="G961" s="28" t="n"/>
      <c r="H961" s="26" t="n"/>
      <c r="I961" s="10">
        <f>IF(H961&lt;&gt;"",H961,IF(AND(F961&lt;&gt;"",G961&lt;&gt;""),ROUND((G961-F961)*1440,0),""))</f>
        <v/>
      </c>
      <c r="J961" s="26" t="n"/>
      <c r="K961" s="9">
        <f>IF(D961="","",IFERROR(VLOOKUP(D961,参数!$A$5:$C$24,2,0),""))</f>
        <v/>
      </c>
      <c r="L961" s="9">
        <f>IF(D961="","",IFERROR(VLOOKUP(D961,参数!$A$5:$C$24,3,0),""))</f>
        <v/>
      </c>
      <c r="M961" s="21" t="n"/>
      <c r="N961" s="21" t="n"/>
      <c r="O961" s="21" t="n"/>
    </row>
    <row r="962">
      <c r="A962" s="24" t="n"/>
      <c r="B962" s="21" t="n"/>
      <c r="C962" s="21" t="n"/>
      <c r="D962" s="21" t="n"/>
      <c r="E962" s="21" t="n"/>
      <c r="F962" s="28" t="n"/>
      <c r="G962" s="28" t="n"/>
      <c r="H962" s="26" t="n"/>
      <c r="I962" s="10">
        <f>IF(H962&lt;&gt;"",H962,IF(AND(F962&lt;&gt;"",G962&lt;&gt;""),ROUND((G962-F962)*1440,0),""))</f>
        <v/>
      </c>
      <c r="J962" s="26" t="n"/>
      <c r="K962" s="9">
        <f>IF(D962="","",IFERROR(VLOOKUP(D962,参数!$A$5:$C$24,2,0),""))</f>
        <v/>
      </c>
      <c r="L962" s="9">
        <f>IF(D962="","",IFERROR(VLOOKUP(D962,参数!$A$5:$C$24,3,0),""))</f>
        <v/>
      </c>
      <c r="M962" s="21" t="n"/>
      <c r="N962" s="21" t="n"/>
      <c r="O962" s="21" t="n"/>
    </row>
    <row r="963">
      <c r="A963" s="24" t="n"/>
      <c r="B963" s="21" t="n"/>
      <c r="C963" s="21" t="n"/>
      <c r="D963" s="21" t="n"/>
      <c r="E963" s="21" t="n"/>
      <c r="F963" s="28" t="n"/>
      <c r="G963" s="28" t="n"/>
      <c r="H963" s="26" t="n"/>
      <c r="I963" s="10">
        <f>IF(H963&lt;&gt;"",H963,IF(AND(F963&lt;&gt;"",G963&lt;&gt;""),ROUND((G963-F963)*1440,0),""))</f>
        <v/>
      </c>
      <c r="J963" s="26" t="n"/>
      <c r="K963" s="9">
        <f>IF(D963="","",IFERROR(VLOOKUP(D963,参数!$A$5:$C$24,2,0),""))</f>
        <v/>
      </c>
      <c r="L963" s="9">
        <f>IF(D963="","",IFERROR(VLOOKUP(D963,参数!$A$5:$C$24,3,0),""))</f>
        <v/>
      </c>
      <c r="M963" s="21" t="n"/>
      <c r="N963" s="21" t="n"/>
      <c r="O963" s="21" t="n"/>
    </row>
    <row r="964">
      <c r="A964" s="24" t="n"/>
      <c r="B964" s="21" t="n"/>
      <c r="C964" s="21" t="n"/>
      <c r="D964" s="21" t="n"/>
      <c r="E964" s="21" t="n"/>
      <c r="F964" s="28" t="n"/>
      <c r="G964" s="28" t="n"/>
      <c r="H964" s="26" t="n"/>
      <c r="I964" s="10">
        <f>IF(H964&lt;&gt;"",H964,IF(AND(F964&lt;&gt;"",G964&lt;&gt;""),ROUND((G964-F964)*1440,0),""))</f>
        <v/>
      </c>
      <c r="J964" s="26" t="n"/>
      <c r="K964" s="9">
        <f>IF(D964="","",IFERROR(VLOOKUP(D964,参数!$A$5:$C$24,2,0),""))</f>
        <v/>
      </c>
      <c r="L964" s="9">
        <f>IF(D964="","",IFERROR(VLOOKUP(D964,参数!$A$5:$C$24,3,0),""))</f>
        <v/>
      </c>
      <c r="M964" s="21" t="n"/>
      <c r="N964" s="21" t="n"/>
      <c r="O964" s="21" t="n"/>
    </row>
    <row r="965">
      <c r="A965" s="24" t="n"/>
      <c r="B965" s="21" t="n"/>
      <c r="C965" s="21" t="n"/>
      <c r="D965" s="21" t="n"/>
      <c r="E965" s="21" t="n"/>
      <c r="F965" s="28" t="n"/>
      <c r="G965" s="28" t="n"/>
      <c r="H965" s="26" t="n"/>
      <c r="I965" s="10">
        <f>IF(H965&lt;&gt;"",H965,IF(AND(F965&lt;&gt;"",G965&lt;&gt;""),ROUND((G965-F965)*1440,0),""))</f>
        <v/>
      </c>
      <c r="J965" s="26" t="n"/>
      <c r="K965" s="9">
        <f>IF(D965="","",IFERROR(VLOOKUP(D965,参数!$A$5:$C$24,2,0),""))</f>
        <v/>
      </c>
      <c r="L965" s="9">
        <f>IF(D965="","",IFERROR(VLOOKUP(D965,参数!$A$5:$C$24,3,0),""))</f>
        <v/>
      </c>
      <c r="M965" s="21" t="n"/>
      <c r="N965" s="21" t="n"/>
      <c r="O965" s="21" t="n"/>
    </row>
    <row r="966">
      <c r="A966" s="24" t="n"/>
      <c r="B966" s="21" t="n"/>
      <c r="C966" s="21" t="n"/>
      <c r="D966" s="21" t="n"/>
      <c r="E966" s="21" t="n"/>
      <c r="F966" s="28" t="n"/>
      <c r="G966" s="28" t="n"/>
      <c r="H966" s="26" t="n"/>
      <c r="I966" s="10">
        <f>IF(H966&lt;&gt;"",H966,IF(AND(F966&lt;&gt;"",G966&lt;&gt;""),ROUND((G966-F966)*1440,0),""))</f>
        <v/>
      </c>
      <c r="J966" s="26" t="n"/>
      <c r="K966" s="9">
        <f>IF(D966="","",IFERROR(VLOOKUP(D966,参数!$A$5:$C$24,2,0),""))</f>
        <v/>
      </c>
      <c r="L966" s="9">
        <f>IF(D966="","",IFERROR(VLOOKUP(D966,参数!$A$5:$C$24,3,0),""))</f>
        <v/>
      </c>
      <c r="M966" s="21" t="n"/>
      <c r="N966" s="21" t="n"/>
      <c r="O966" s="21" t="n"/>
    </row>
    <row r="967">
      <c r="A967" s="24" t="n"/>
      <c r="B967" s="21" t="n"/>
      <c r="C967" s="21" t="n"/>
      <c r="D967" s="21" t="n"/>
      <c r="E967" s="21" t="n"/>
      <c r="F967" s="28" t="n"/>
      <c r="G967" s="28" t="n"/>
      <c r="H967" s="26" t="n"/>
      <c r="I967" s="10">
        <f>IF(H967&lt;&gt;"",H967,IF(AND(F967&lt;&gt;"",G967&lt;&gt;""),ROUND((G967-F967)*1440,0),""))</f>
        <v/>
      </c>
      <c r="J967" s="26" t="n"/>
      <c r="K967" s="9">
        <f>IF(D967="","",IFERROR(VLOOKUP(D967,参数!$A$5:$C$24,2,0),""))</f>
        <v/>
      </c>
      <c r="L967" s="9">
        <f>IF(D967="","",IFERROR(VLOOKUP(D967,参数!$A$5:$C$24,3,0),""))</f>
        <v/>
      </c>
      <c r="M967" s="21" t="n"/>
      <c r="N967" s="21" t="n"/>
      <c r="O967" s="21" t="n"/>
    </row>
    <row r="968">
      <c r="A968" s="24" t="n"/>
      <c r="B968" s="21" t="n"/>
      <c r="C968" s="21" t="n"/>
      <c r="D968" s="21" t="n"/>
      <c r="E968" s="21" t="n"/>
      <c r="F968" s="28" t="n"/>
      <c r="G968" s="28" t="n"/>
      <c r="H968" s="26" t="n"/>
      <c r="I968" s="10">
        <f>IF(H968&lt;&gt;"",H968,IF(AND(F968&lt;&gt;"",G968&lt;&gt;""),ROUND((G968-F968)*1440,0),""))</f>
        <v/>
      </c>
      <c r="J968" s="26" t="n"/>
      <c r="K968" s="9">
        <f>IF(D968="","",IFERROR(VLOOKUP(D968,参数!$A$5:$C$24,2,0),""))</f>
        <v/>
      </c>
      <c r="L968" s="9">
        <f>IF(D968="","",IFERROR(VLOOKUP(D968,参数!$A$5:$C$24,3,0),""))</f>
        <v/>
      </c>
      <c r="M968" s="21" t="n"/>
      <c r="N968" s="21" t="n"/>
      <c r="O968" s="21" t="n"/>
    </row>
    <row r="969">
      <c r="A969" s="24" t="n"/>
      <c r="B969" s="21" t="n"/>
      <c r="C969" s="21" t="n"/>
      <c r="D969" s="21" t="n"/>
      <c r="E969" s="21" t="n"/>
      <c r="F969" s="28" t="n"/>
      <c r="G969" s="28" t="n"/>
      <c r="H969" s="26" t="n"/>
      <c r="I969" s="10">
        <f>IF(H969&lt;&gt;"",H969,IF(AND(F969&lt;&gt;"",G969&lt;&gt;""),ROUND((G969-F969)*1440,0),""))</f>
        <v/>
      </c>
      <c r="J969" s="26" t="n"/>
      <c r="K969" s="9">
        <f>IF(D969="","",IFERROR(VLOOKUP(D969,参数!$A$5:$C$24,2,0),""))</f>
        <v/>
      </c>
      <c r="L969" s="9">
        <f>IF(D969="","",IFERROR(VLOOKUP(D969,参数!$A$5:$C$24,3,0),""))</f>
        <v/>
      </c>
      <c r="M969" s="21" t="n"/>
      <c r="N969" s="21" t="n"/>
      <c r="O969" s="21" t="n"/>
    </row>
    <row r="970">
      <c r="A970" s="24" t="n"/>
      <c r="B970" s="21" t="n"/>
      <c r="C970" s="21" t="n"/>
      <c r="D970" s="21" t="n"/>
      <c r="E970" s="21" t="n"/>
      <c r="F970" s="28" t="n"/>
      <c r="G970" s="28" t="n"/>
      <c r="H970" s="26" t="n"/>
      <c r="I970" s="10">
        <f>IF(H970&lt;&gt;"",H970,IF(AND(F970&lt;&gt;"",G970&lt;&gt;""),ROUND((G970-F970)*1440,0),""))</f>
        <v/>
      </c>
      <c r="J970" s="26" t="n"/>
      <c r="K970" s="9">
        <f>IF(D970="","",IFERROR(VLOOKUP(D970,参数!$A$5:$C$24,2,0),""))</f>
        <v/>
      </c>
      <c r="L970" s="9">
        <f>IF(D970="","",IFERROR(VLOOKUP(D970,参数!$A$5:$C$24,3,0),""))</f>
        <v/>
      </c>
      <c r="M970" s="21" t="n"/>
      <c r="N970" s="21" t="n"/>
      <c r="O970" s="21" t="n"/>
    </row>
    <row r="971">
      <c r="A971" s="24" t="n"/>
      <c r="B971" s="21" t="n"/>
      <c r="C971" s="21" t="n"/>
      <c r="D971" s="21" t="n"/>
      <c r="E971" s="21" t="n"/>
      <c r="F971" s="28" t="n"/>
      <c r="G971" s="28" t="n"/>
      <c r="H971" s="26" t="n"/>
      <c r="I971" s="10">
        <f>IF(H971&lt;&gt;"",H971,IF(AND(F971&lt;&gt;"",G971&lt;&gt;""),ROUND((G971-F971)*1440,0),""))</f>
        <v/>
      </c>
      <c r="J971" s="26" t="n"/>
      <c r="K971" s="9">
        <f>IF(D971="","",IFERROR(VLOOKUP(D971,参数!$A$5:$C$24,2,0),""))</f>
        <v/>
      </c>
      <c r="L971" s="9">
        <f>IF(D971="","",IFERROR(VLOOKUP(D971,参数!$A$5:$C$24,3,0),""))</f>
        <v/>
      </c>
      <c r="M971" s="21" t="n"/>
      <c r="N971" s="21" t="n"/>
      <c r="O971" s="21" t="n"/>
    </row>
    <row r="972">
      <c r="A972" s="24" t="n"/>
      <c r="B972" s="21" t="n"/>
      <c r="C972" s="21" t="n"/>
      <c r="D972" s="21" t="n"/>
      <c r="E972" s="21" t="n"/>
      <c r="F972" s="28" t="n"/>
      <c r="G972" s="28" t="n"/>
      <c r="H972" s="26" t="n"/>
      <c r="I972" s="10">
        <f>IF(H972&lt;&gt;"",H972,IF(AND(F972&lt;&gt;"",G972&lt;&gt;""),ROUND((G972-F972)*1440,0),""))</f>
        <v/>
      </c>
      <c r="J972" s="26" t="n"/>
      <c r="K972" s="9">
        <f>IF(D972="","",IFERROR(VLOOKUP(D972,参数!$A$5:$C$24,2,0),""))</f>
        <v/>
      </c>
      <c r="L972" s="9">
        <f>IF(D972="","",IFERROR(VLOOKUP(D972,参数!$A$5:$C$24,3,0),""))</f>
        <v/>
      </c>
      <c r="M972" s="21" t="n"/>
      <c r="N972" s="21" t="n"/>
      <c r="O972" s="21" t="n"/>
    </row>
    <row r="973">
      <c r="A973" s="24" t="n"/>
      <c r="B973" s="21" t="n"/>
      <c r="C973" s="21" t="n"/>
      <c r="D973" s="21" t="n"/>
      <c r="E973" s="21" t="n"/>
      <c r="F973" s="28" t="n"/>
      <c r="G973" s="28" t="n"/>
      <c r="H973" s="26" t="n"/>
      <c r="I973" s="10">
        <f>IF(H973&lt;&gt;"",H973,IF(AND(F973&lt;&gt;"",G973&lt;&gt;""),ROUND((G973-F973)*1440,0),""))</f>
        <v/>
      </c>
      <c r="J973" s="26" t="n"/>
      <c r="K973" s="9">
        <f>IF(D973="","",IFERROR(VLOOKUP(D973,参数!$A$5:$C$24,2,0),""))</f>
        <v/>
      </c>
      <c r="L973" s="9">
        <f>IF(D973="","",IFERROR(VLOOKUP(D973,参数!$A$5:$C$24,3,0),""))</f>
        <v/>
      </c>
      <c r="M973" s="21" t="n"/>
      <c r="N973" s="21" t="n"/>
      <c r="O973" s="21" t="n"/>
    </row>
    <row r="974">
      <c r="A974" s="24" t="n"/>
      <c r="B974" s="21" t="n"/>
      <c r="C974" s="21" t="n"/>
      <c r="D974" s="21" t="n"/>
      <c r="E974" s="21" t="n"/>
      <c r="F974" s="28" t="n"/>
      <c r="G974" s="28" t="n"/>
      <c r="H974" s="26" t="n"/>
      <c r="I974" s="10">
        <f>IF(H974&lt;&gt;"",H974,IF(AND(F974&lt;&gt;"",G974&lt;&gt;""),ROUND((G974-F974)*1440,0),""))</f>
        <v/>
      </c>
      <c r="J974" s="26" t="n"/>
      <c r="K974" s="9">
        <f>IF(D974="","",IFERROR(VLOOKUP(D974,参数!$A$5:$C$24,2,0),""))</f>
        <v/>
      </c>
      <c r="L974" s="9">
        <f>IF(D974="","",IFERROR(VLOOKUP(D974,参数!$A$5:$C$24,3,0),""))</f>
        <v/>
      </c>
      <c r="M974" s="21" t="n"/>
      <c r="N974" s="21" t="n"/>
      <c r="O974" s="21" t="n"/>
    </row>
    <row r="975">
      <c r="A975" s="24" t="n"/>
      <c r="B975" s="21" t="n"/>
      <c r="C975" s="21" t="n"/>
      <c r="D975" s="21" t="n"/>
      <c r="E975" s="21" t="n"/>
      <c r="F975" s="28" t="n"/>
      <c r="G975" s="28" t="n"/>
      <c r="H975" s="26" t="n"/>
      <c r="I975" s="10">
        <f>IF(H975&lt;&gt;"",H975,IF(AND(F975&lt;&gt;"",G975&lt;&gt;""),ROUND((G975-F975)*1440,0),""))</f>
        <v/>
      </c>
      <c r="J975" s="26" t="n"/>
      <c r="K975" s="9">
        <f>IF(D975="","",IFERROR(VLOOKUP(D975,参数!$A$5:$C$24,2,0),""))</f>
        <v/>
      </c>
      <c r="L975" s="9">
        <f>IF(D975="","",IFERROR(VLOOKUP(D975,参数!$A$5:$C$24,3,0),""))</f>
        <v/>
      </c>
      <c r="M975" s="21" t="n"/>
      <c r="N975" s="21" t="n"/>
      <c r="O975" s="21" t="n"/>
    </row>
    <row r="976">
      <c r="A976" s="24" t="n"/>
      <c r="B976" s="21" t="n"/>
      <c r="C976" s="21" t="n"/>
      <c r="D976" s="21" t="n"/>
      <c r="E976" s="21" t="n"/>
      <c r="F976" s="28" t="n"/>
      <c r="G976" s="28" t="n"/>
      <c r="H976" s="26" t="n"/>
      <c r="I976" s="10">
        <f>IF(H976&lt;&gt;"",H976,IF(AND(F976&lt;&gt;"",G976&lt;&gt;""),ROUND((G976-F976)*1440,0),""))</f>
        <v/>
      </c>
      <c r="J976" s="26" t="n"/>
      <c r="K976" s="9">
        <f>IF(D976="","",IFERROR(VLOOKUP(D976,参数!$A$5:$C$24,2,0),""))</f>
        <v/>
      </c>
      <c r="L976" s="9">
        <f>IF(D976="","",IFERROR(VLOOKUP(D976,参数!$A$5:$C$24,3,0),""))</f>
        <v/>
      </c>
      <c r="M976" s="21" t="n"/>
      <c r="N976" s="21" t="n"/>
      <c r="O976" s="21" t="n"/>
    </row>
    <row r="977">
      <c r="A977" s="24" t="n"/>
      <c r="B977" s="21" t="n"/>
      <c r="C977" s="21" t="n"/>
      <c r="D977" s="21" t="n"/>
      <c r="E977" s="21" t="n"/>
      <c r="F977" s="28" t="n"/>
      <c r="G977" s="28" t="n"/>
      <c r="H977" s="26" t="n"/>
      <c r="I977" s="10">
        <f>IF(H977&lt;&gt;"",H977,IF(AND(F977&lt;&gt;"",G977&lt;&gt;""),ROUND((G977-F977)*1440,0),""))</f>
        <v/>
      </c>
      <c r="J977" s="26" t="n"/>
      <c r="K977" s="9">
        <f>IF(D977="","",IFERROR(VLOOKUP(D977,参数!$A$5:$C$24,2,0),""))</f>
        <v/>
      </c>
      <c r="L977" s="9">
        <f>IF(D977="","",IFERROR(VLOOKUP(D977,参数!$A$5:$C$24,3,0),""))</f>
        <v/>
      </c>
      <c r="M977" s="21" t="n"/>
      <c r="N977" s="21" t="n"/>
      <c r="O977" s="21" t="n"/>
    </row>
    <row r="978">
      <c r="A978" s="24" t="n"/>
      <c r="B978" s="21" t="n"/>
      <c r="C978" s="21" t="n"/>
      <c r="D978" s="21" t="n"/>
      <c r="E978" s="21" t="n"/>
      <c r="F978" s="28" t="n"/>
      <c r="G978" s="28" t="n"/>
      <c r="H978" s="26" t="n"/>
      <c r="I978" s="10">
        <f>IF(H978&lt;&gt;"",H978,IF(AND(F978&lt;&gt;"",G978&lt;&gt;""),ROUND((G978-F978)*1440,0),""))</f>
        <v/>
      </c>
      <c r="J978" s="26" t="n"/>
      <c r="K978" s="9">
        <f>IF(D978="","",IFERROR(VLOOKUP(D978,参数!$A$5:$C$24,2,0),""))</f>
        <v/>
      </c>
      <c r="L978" s="9">
        <f>IF(D978="","",IFERROR(VLOOKUP(D978,参数!$A$5:$C$24,3,0),""))</f>
        <v/>
      </c>
      <c r="M978" s="21" t="n"/>
      <c r="N978" s="21" t="n"/>
      <c r="O978" s="21" t="n"/>
    </row>
    <row r="979">
      <c r="A979" s="24" t="n"/>
      <c r="B979" s="21" t="n"/>
      <c r="C979" s="21" t="n"/>
      <c r="D979" s="21" t="n"/>
      <c r="E979" s="21" t="n"/>
      <c r="F979" s="28" t="n"/>
      <c r="G979" s="28" t="n"/>
      <c r="H979" s="26" t="n"/>
      <c r="I979" s="10">
        <f>IF(H979&lt;&gt;"",H979,IF(AND(F979&lt;&gt;"",G979&lt;&gt;""),ROUND((G979-F979)*1440,0),""))</f>
        <v/>
      </c>
      <c r="J979" s="26" t="n"/>
      <c r="K979" s="9">
        <f>IF(D979="","",IFERROR(VLOOKUP(D979,参数!$A$5:$C$24,2,0),""))</f>
        <v/>
      </c>
      <c r="L979" s="9">
        <f>IF(D979="","",IFERROR(VLOOKUP(D979,参数!$A$5:$C$24,3,0),""))</f>
        <v/>
      </c>
      <c r="M979" s="21" t="n"/>
      <c r="N979" s="21" t="n"/>
      <c r="O979" s="21" t="n"/>
    </row>
    <row r="980">
      <c r="A980" s="24" t="n"/>
      <c r="B980" s="21" t="n"/>
      <c r="C980" s="21" t="n"/>
      <c r="D980" s="21" t="n"/>
      <c r="E980" s="21" t="n"/>
      <c r="F980" s="28" t="n"/>
      <c r="G980" s="28" t="n"/>
      <c r="H980" s="26" t="n"/>
      <c r="I980" s="10">
        <f>IF(H980&lt;&gt;"",H980,IF(AND(F980&lt;&gt;"",G980&lt;&gt;""),ROUND((G980-F980)*1440,0),""))</f>
        <v/>
      </c>
      <c r="J980" s="26" t="n"/>
      <c r="K980" s="9">
        <f>IF(D980="","",IFERROR(VLOOKUP(D980,参数!$A$5:$C$24,2,0),""))</f>
        <v/>
      </c>
      <c r="L980" s="9">
        <f>IF(D980="","",IFERROR(VLOOKUP(D980,参数!$A$5:$C$24,3,0),""))</f>
        <v/>
      </c>
      <c r="M980" s="21" t="n"/>
      <c r="N980" s="21" t="n"/>
      <c r="O980" s="21" t="n"/>
    </row>
    <row r="981">
      <c r="A981" s="24" t="n"/>
      <c r="B981" s="21" t="n"/>
      <c r="C981" s="21" t="n"/>
      <c r="D981" s="21" t="n"/>
      <c r="E981" s="21" t="n"/>
      <c r="F981" s="28" t="n"/>
      <c r="G981" s="28" t="n"/>
      <c r="H981" s="26" t="n"/>
      <c r="I981" s="10">
        <f>IF(H981&lt;&gt;"",H981,IF(AND(F981&lt;&gt;"",G981&lt;&gt;""),ROUND((G981-F981)*1440,0),""))</f>
        <v/>
      </c>
      <c r="J981" s="26" t="n"/>
      <c r="K981" s="9">
        <f>IF(D981="","",IFERROR(VLOOKUP(D981,参数!$A$5:$C$24,2,0),""))</f>
        <v/>
      </c>
      <c r="L981" s="9">
        <f>IF(D981="","",IFERROR(VLOOKUP(D981,参数!$A$5:$C$24,3,0),""))</f>
        <v/>
      </c>
      <c r="M981" s="21" t="n"/>
      <c r="N981" s="21" t="n"/>
      <c r="O981" s="21" t="n"/>
    </row>
    <row r="982">
      <c r="A982" s="24" t="n"/>
      <c r="B982" s="21" t="n"/>
      <c r="C982" s="21" t="n"/>
      <c r="D982" s="21" t="n"/>
      <c r="E982" s="21" t="n"/>
      <c r="F982" s="28" t="n"/>
      <c r="G982" s="28" t="n"/>
      <c r="H982" s="26" t="n"/>
      <c r="I982" s="10">
        <f>IF(H982&lt;&gt;"",H982,IF(AND(F982&lt;&gt;"",G982&lt;&gt;""),ROUND((G982-F982)*1440,0),""))</f>
        <v/>
      </c>
      <c r="J982" s="26" t="n"/>
      <c r="K982" s="9">
        <f>IF(D982="","",IFERROR(VLOOKUP(D982,参数!$A$5:$C$24,2,0),""))</f>
        <v/>
      </c>
      <c r="L982" s="9">
        <f>IF(D982="","",IFERROR(VLOOKUP(D982,参数!$A$5:$C$24,3,0),""))</f>
        <v/>
      </c>
      <c r="M982" s="21" t="n"/>
      <c r="N982" s="21" t="n"/>
      <c r="O982" s="21" t="n"/>
    </row>
    <row r="983">
      <c r="A983" s="24" t="n"/>
      <c r="B983" s="21" t="n"/>
      <c r="C983" s="21" t="n"/>
      <c r="D983" s="21" t="n"/>
      <c r="E983" s="21" t="n"/>
      <c r="F983" s="28" t="n"/>
      <c r="G983" s="28" t="n"/>
      <c r="H983" s="26" t="n"/>
      <c r="I983" s="10">
        <f>IF(H983&lt;&gt;"",H983,IF(AND(F983&lt;&gt;"",G983&lt;&gt;""),ROUND((G983-F983)*1440,0),""))</f>
        <v/>
      </c>
      <c r="J983" s="26" t="n"/>
      <c r="K983" s="9">
        <f>IF(D983="","",IFERROR(VLOOKUP(D983,参数!$A$5:$C$24,2,0),""))</f>
        <v/>
      </c>
      <c r="L983" s="9">
        <f>IF(D983="","",IFERROR(VLOOKUP(D983,参数!$A$5:$C$24,3,0),""))</f>
        <v/>
      </c>
      <c r="M983" s="21" t="n"/>
      <c r="N983" s="21" t="n"/>
      <c r="O983" s="21" t="n"/>
    </row>
    <row r="984">
      <c r="A984" s="24" t="n"/>
      <c r="B984" s="21" t="n"/>
      <c r="C984" s="21" t="n"/>
      <c r="D984" s="21" t="n"/>
      <c r="E984" s="21" t="n"/>
      <c r="F984" s="28" t="n"/>
      <c r="G984" s="28" t="n"/>
      <c r="H984" s="26" t="n"/>
      <c r="I984" s="10">
        <f>IF(H984&lt;&gt;"",H984,IF(AND(F984&lt;&gt;"",G984&lt;&gt;""),ROUND((G984-F984)*1440,0),""))</f>
        <v/>
      </c>
      <c r="J984" s="26" t="n"/>
      <c r="K984" s="9">
        <f>IF(D984="","",IFERROR(VLOOKUP(D984,参数!$A$5:$C$24,2,0),""))</f>
        <v/>
      </c>
      <c r="L984" s="9">
        <f>IF(D984="","",IFERROR(VLOOKUP(D984,参数!$A$5:$C$24,3,0),""))</f>
        <v/>
      </c>
      <c r="M984" s="21" t="n"/>
      <c r="N984" s="21" t="n"/>
      <c r="O984" s="21" t="n"/>
    </row>
    <row r="985">
      <c r="A985" s="24" t="n"/>
      <c r="B985" s="21" t="n"/>
      <c r="C985" s="21" t="n"/>
      <c r="D985" s="21" t="n"/>
      <c r="E985" s="21" t="n"/>
      <c r="F985" s="28" t="n"/>
      <c r="G985" s="28" t="n"/>
      <c r="H985" s="26" t="n"/>
      <c r="I985" s="10">
        <f>IF(H985&lt;&gt;"",H985,IF(AND(F985&lt;&gt;"",G985&lt;&gt;""),ROUND((G985-F985)*1440,0),""))</f>
        <v/>
      </c>
      <c r="J985" s="26" t="n"/>
      <c r="K985" s="9">
        <f>IF(D985="","",IFERROR(VLOOKUP(D985,参数!$A$5:$C$24,2,0),""))</f>
        <v/>
      </c>
      <c r="L985" s="9">
        <f>IF(D985="","",IFERROR(VLOOKUP(D985,参数!$A$5:$C$24,3,0),""))</f>
        <v/>
      </c>
      <c r="M985" s="21" t="n"/>
      <c r="N985" s="21" t="n"/>
      <c r="O985" s="21" t="n"/>
    </row>
    <row r="986">
      <c r="A986" s="24" t="n"/>
      <c r="B986" s="21" t="n"/>
      <c r="C986" s="21" t="n"/>
      <c r="D986" s="21" t="n"/>
      <c r="E986" s="21" t="n"/>
      <c r="F986" s="28" t="n"/>
      <c r="G986" s="28" t="n"/>
      <c r="H986" s="26" t="n"/>
      <c r="I986" s="10">
        <f>IF(H986&lt;&gt;"",H986,IF(AND(F986&lt;&gt;"",G986&lt;&gt;""),ROUND((G986-F986)*1440,0),""))</f>
        <v/>
      </c>
      <c r="J986" s="26" t="n"/>
      <c r="K986" s="9">
        <f>IF(D986="","",IFERROR(VLOOKUP(D986,参数!$A$5:$C$24,2,0),""))</f>
        <v/>
      </c>
      <c r="L986" s="9">
        <f>IF(D986="","",IFERROR(VLOOKUP(D986,参数!$A$5:$C$24,3,0),""))</f>
        <v/>
      </c>
      <c r="M986" s="21" t="n"/>
      <c r="N986" s="21" t="n"/>
      <c r="O986" s="21" t="n"/>
    </row>
    <row r="987">
      <c r="A987" s="24" t="n"/>
      <c r="B987" s="21" t="n"/>
      <c r="C987" s="21" t="n"/>
      <c r="D987" s="21" t="n"/>
      <c r="E987" s="21" t="n"/>
      <c r="F987" s="28" t="n"/>
      <c r="G987" s="28" t="n"/>
      <c r="H987" s="26" t="n"/>
      <c r="I987" s="10">
        <f>IF(H987&lt;&gt;"",H987,IF(AND(F987&lt;&gt;"",G987&lt;&gt;""),ROUND((G987-F987)*1440,0),""))</f>
        <v/>
      </c>
      <c r="J987" s="26" t="n"/>
      <c r="K987" s="9">
        <f>IF(D987="","",IFERROR(VLOOKUP(D987,参数!$A$5:$C$24,2,0),""))</f>
        <v/>
      </c>
      <c r="L987" s="9">
        <f>IF(D987="","",IFERROR(VLOOKUP(D987,参数!$A$5:$C$24,3,0),""))</f>
        <v/>
      </c>
      <c r="M987" s="21" t="n"/>
      <c r="N987" s="21" t="n"/>
      <c r="O987" s="21" t="n"/>
    </row>
    <row r="988">
      <c r="A988" s="24" t="n"/>
      <c r="B988" s="21" t="n"/>
      <c r="C988" s="21" t="n"/>
      <c r="D988" s="21" t="n"/>
      <c r="E988" s="21" t="n"/>
      <c r="F988" s="28" t="n"/>
      <c r="G988" s="28" t="n"/>
      <c r="H988" s="26" t="n"/>
      <c r="I988" s="10">
        <f>IF(H988&lt;&gt;"",H988,IF(AND(F988&lt;&gt;"",G988&lt;&gt;""),ROUND((G988-F988)*1440,0),""))</f>
        <v/>
      </c>
      <c r="J988" s="26" t="n"/>
      <c r="K988" s="9">
        <f>IF(D988="","",IFERROR(VLOOKUP(D988,参数!$A$5:$C$24,2,0),""))</f>
        <v/>
      </c>
      <c r="L988" s="9">
        <f>IF(D988="","",IFERROR(VLOOKUP(D988,参数!$A$5:$C$24,3,0),""))</f>
        <v/>
      </c>
      <c r="M988" s="21" t="n"/>
      <c r="N988" s="21" t="n"/>
      <c r="O988" s="21" t="n"/>
    </row>
    <row r="989">
      <c r="A989" s="24" t="n"/>
      <c r="B989" s="21" t="n"/>
      <c r="C989" s="21" t="n"/>
      <c r="D989" s="21" t="n"/>
      <c r="E989" s="21" t="n"/>
      <c r="F989" s="28" t="n"/>
      <c r="G989" s="28" t="n"/>
      <c r="H989" s="26" t="n"/>
      <c r="I989" s="10">
        <f>IF(H989&lt;&gt;"",H989,IF(AND(F989&lt;&gt;"",G989&lt;&gt;""),ROUND((G989-F989)*1440,0),""))</f>
        <v/>
      </c>
      <c r="J989" s="26" t="n"/>
      <c r="K989" s="9">
        <f>IF(D989="","",IFERROR(VLOOKUP(D989,参数!$A$5:$C$24,2,0),""))</f>
        <v/>
      </c>
      <c r="L989" s="9">
        <f>IF(D989="","",IFERROR(VLOOKUP(D989,参数!$A$5:$C$24,3,0),""))</f>
        <v/>
      </c>
      <c r="M989" s="21" t="n"/>
      <c r="N989" s="21" t="n"/>
      <c r="O989" s="21" t="n"/>
    </row>
    <row r="990">
      <c r="A990" s="24" t="n"/>
      <c r="B990" s="21" t="n"/>
      <c r="C990" s="21" t="n"/>
      <c r="D990" s="21" t="n"/>
      <c r="E990" s="21" t="n"/>
      <c r="F990" s="28" t="n"/>
      <c r="G990" s="28" t="n"/>
      <c r="H990" s="26" t="n"/>
      <c r="I990" s="10">
        <f>IF(H990&lt;&gt;"",H990,IF(AND(F990&lt;&gt;"",G990&lt;&gt;""),ROUND((G990-F990)*1440,0),""))</f>
        <v/>
      </c>
      <c r="J990" s="26" t="n"/>
      <c r="K990" s="9">
        <f>IF(D990="","",IFERROR(VLOOKUP(D990,参数!$A$5:$C$24,2,0),""))</f>
        <v/>
      </c>
      <c r="L990" s="9">
        <f>IF(D990="","",IFERROR(VLOOKUP(D990,参数!$A$5:$C$24,3,0),""))</f>
        <v/>
      </c>
      <c r="M990" s="21" t="n"/>
      <c r="N990" s="21" t="n"/>
      <c r="O990" s="21" t="n"/>
    </row>
    <row r="991">
      <c r="A991" s="24" t="n"/>
      <c r="B991" s="21" t="n"/>
      <c r="C991" s="21" t="n"/>
      <c r="D991" s="21" t="n"/>
      <c r="E991" s="21" t="n"/>
      <c r="F991" s="28" t="n"/>
      <c r="G991" s="28" t="n"/>
      <c r="H991" s="26" t="n"/>
      <c r="I991" s="10">
        <f>IF(H991&lt;&gt;"",H991,IF(AND(F991&lt;&gt;"",G991&lt;&gt;""),ROUND((G991-F991)*1440,0),""))</f>
        <v/>
      </c>
      <c r="J991" s="26" t="n"/>
      <c r="K991" s="9">
        <f>IF(D991="","",IFERROR(VLOOKUP(D991,参数!$A$5:$C$24,2,0),""))</f>
        <v/>
      </c>
      <c r="L991" s="9">
        <f>IF(D991="","",IFERROR(VLOOKUP(D991,参数!$A$5:$C$24,3,0),""))</f>
        <v/>
      </c>
      <c r="M991" s="21" t="n"/>
      <c r="N991" s="21" t="n"/>
      <c r="O991" s="21" t="n"/>
    </row>
    <row r="992">
      <c r="A992" s="24" t="n"/>
      <c r="B992" s="21" t="n"/>
      <c r="C992" s="21" t="n"/>
      <c r="D992" s="21" t="n"/>
      <c r="E992" s="21" t="n"/>
      <c r="F992" s="28" t="n"/>
      <c r="G992" s="28" t="n"/>
      <c r="H992" s="26" t="n"/>
      <c r="I992" s="10">
        <f>IF(H992&lt;&gt;"",H992,IF(AND(F992&lt;&gt;"",G992&lt;&gt;""),ROUND((G992-F992)*1440,0),""))</f>
        <v/>
      </c>
      <c r="J992" s="26" t="n"/>
      <c r="K992" s="9">
        <f>IF(D992="","",IFERROR(VLOOKUP(D992,参数!$A$5:$C$24,2,0),""))</f>
        <v/>
      </c>
      <c r="L992" s="9">
        <f>IF(D992="","",IFERROR(VLOOKUP(D992,参数!$A$5:$C$24,3,0),""))</f>
        <v/>
      </c>
      <c r="M992" s="21" t="n"/>
      <c r="N992" s="21" t="n"/>
      <c r="O992" s="21" t="n"/>
    </row>
    <row r="993">
      <c r="A993" s="24" t="n"/>
      <c r="B993" s="21" t="n"/>
      <c r="C993" s="21" t="n"/>
      <c r="D993" s="21" t="n"/>
      <c r="E993" s="21" t="n"/>
      <c r="F993" s="28" t="n"/>
      <c r="G993" s="28" t="n"/>
      <c r="H993" s="26" t="n"/>
      <c r="I993" s="10">
        <f>IF(H993&lt;&gt;"",H993,IF(AND(F993&lt;&gt;"",G993&lt;&gt;""),ROUND((G993-F993)*1440,0),""))</f>
        <v/>
      </c>
      <c r="J993" s="26" t="n"/>
      <c r="K993" s="9">
        <f>IF(D993="","",IFERROR(VLOOKUP(D993,参数!$A$5:$C$24,2,0),""))</f>
        <v/>
      </c>
      <c r="L993" s="9">
        <f>IF(D993="","",IFERROR(VLOOKUP(D993,参数!$A$5:$C$24,3,0),""))</f>
        <v/>
      </c>
      <c r="M993" s="21" t="n"/>
      <c r="N993" s="21" t="n"/>
      <c r="O993" s="21" t="n"/>
    </row>
    <row r="994">
      <c r="A994" s="24" t="n"/>
      <c r="B994" s="21" t="n"/>
      <c r="C994" s="21" t="n"/>
      <c r="D994" s="21" t="n"/>
      <c r="E994" s="21" t="n"/>
      <c r="F994" s="28" t="n"/>
      <c r="G994" s="28" t="n"/>
      <c r="H994" s="26" t="n"/>
      <c r="I994" s="10">
        <f>IF(H994&lt;&gt;"",H994,IF(AND(F994&lt;&gt;"",G994&lt;&gt;""),ROUND((G994-F994)*1440,0),""))</f>
        <v/>
      </c>
      <c r="J994" s="26" t="n"/>
      <c r="K994" s="9">
        <f>IF(D994="","",IFERROR(VLOOKUP(D994,参数!$A$5:$C$24,2,0),""))</f>
        <v/>
      </c>
      <c r="L994" s="9">
        <f>IF(D994="","",IFERROR(VLOOKUP(D994,参数!$A$5:$C$24,3,0),""))</f>
        <v/>
      </c>
      <c r="M994" s="21" t="n"/>
      <c r="N994" s="21" t="n"/>
      <c r="O994" s="21" t="n"/>
    </row>
    <row r="995">
      <c r="A995" s="24" t="n"/>
      <c r="B995" s="21" t="n"/>
      <c r="C995" s="21" t="n"/>
      <c r="D995" s="21" t="n"/>
      <c r="E995" s="21" t="n"/>
      <c r="F995" s="28" t="n"/>
      <c r="G995" s="28" t="n"/>
      <c r="H995" s="26" t="n"/>
      <c r="I995" s="10">
        <f>IF(H995&lt;&gt;"",H995,IF(AND(F995&lt;&gt;"",G995&lt;&gt;""),ROUND((G995-F995)*1440,0),""))</f>
        <v/>
      </c>
      <c r="J995" s="26" t="n"/>
      <c r="K995" s="9">
        <f>IF(D995="","",IFERROR(VLOOKUP(D995,参数!$A$5:$C$24,2,0),""))</f>
        <v/>
      </c>
      <c r="L995" s="9">
        <f>IF(D995="","",IFERROR(VLOOKUP(D995,参数!$A$5:$C$24,3,0),""))</f>
        <v/>
      </c>
      <c r="M995" s="21" t="n"/>
      <c r="N995" s="21" t="n"/>
      <c r="O995" s="21" t="n"/>
    </row>
    <row r="996">
      <c r="A996" s="24" t="n"/>
      <c r="B996" s="21" t="n"/>
      <c r="C996" s="21" t="n"/>
      <c r="D996" s="21" t="n"/>
      <c r="E996" s="21" t="n"/>
      <c r="F996" s="28" t="n"/>
      <c r="G996" s="28" t="n"/>
      <c r="H996" s="26" t="n"/>
      <c r="I996" s="10">
        <f>IF(H996&lt;&gt;"",H996,IF(AND(F996&lt;&gt;"",G996&lt;&gt;""),ROUND((G996-F996)*1440,0),""))</f>
        <v/>
      </c>
      <c r="J996" s="26" t="n"/>
      <c r="K996" s="9">
        <f>IF(D996="","",IFERROR(VLOOKUP(D996,参数!$A$5:$C$24,2,0),""))</f>
        <v/>
      </c>
      <c r="L996" s="9">
        <f>IF(D996="","",IFERROR(VLOOKUP(D996,参数!$A$5:$C$24,3,0),""))</f>
        <v/>
      </c>
      <c r="M996" s="21" t="n"/>
      <c r="N996" s="21" t="n"/>
      <c r="O996" s="21" t="n"/>
    </row>
    <row r="997">
      <c r="A997" s="24" t="n"/>
      <c r="B997" s="21" t="n"/>
      <c r="C997" s="21" t="n"/>
      <c r="D997" s="21" t="n"/>
      <c r="E997" s="21" t="n"/>
      <c r="F997" s="28" t="n"/>
      <c r="G997" s="28" t="n"/>
      <c r="H997" s="26" t="n"/>
      <c r="I997" s="10">
        <f>IF(H997&lt;&gt;"",H997,IF(AND(F997&lt;&gt;"",G997&lt;&gt;""),ROUND((G997-F997)*1440,0),""))</f>
        <v/>
      </c>
      <c r="J997" s="26" t="n"/>
      <c r="K997" s="9">
        <f>IF(D997="","",IFERROR(VLOOKUP(D997,参数!$A$5:$C$24,2,0),""))</f>
        <v/>
      </c>
      <c r="L997" s="9">
        <f>IF(D997="","",IFERROR(VLOOKUP(D997,参数!$A$5:$C$24,3,0),""))</f>
        <v/>
      </c>
      <c r="M997" s="21" t="n"/>
      <c r="N997" s="21" t="n"/>
      <c r="O997" s="21" t="n"/>
    </row>
    <row r="998">
      <c r="A998" s="24" t="n"/>
      <c r="B998" s="21" t="n"/>
      <c r="C998" s="21" t="n"/>
      <c r="D998" s="21" t="n"/>
      <c r="E998" s="21" t="n"/>
      <c r="F998" s="28" t="n"/>
      <c r="G998" s="28" t="n"/>
      <c r="H998" s="26" t="n"/>
      <c r="I998" s="10">
        <f>IF(H998&lt;&gt;"",H998,IF(AND(F998&lt;&gt;"",G998&lt;&gt;""),ROUND((G998-F998)*1440,0),""))</f>
        <v/>
      </c>
      <c r="J998" s="26" t="n"/>
      <c r="K998" s="9">
        <f>IF(D998="","",IFERROR(VLOOKUP(D998,参数!$A$5:$C$24,2,0),""))</f>
        <v/>
      </c>
      <c r="L998" s="9">
        <f>IF(D998="","",IFERROR(VLOOKUP(D998,参数!$A$5:$C$24,3,0),""))</f>
        <v/>
      </c>
      <c r="M998" s="21" t="n"/>
      <c r="N998" s="21" t="n"/>
      <c r="O998" s="21" t="n"/>
    </row>
    <row r="999">
      <c r="A999" s="24" t="n"/>
      <c r="B999" s="21" t="n"/>
      <c r="C999" s="21" t="n"/>
      <c r="D999" s="21" t="n"/>
      <c r="E999" s="21" t="n"/>
      <c r="F999" s="28" t="n"/>
      <c r="G999" s="28" t="n"/>
      <c r="H999" s="26" t="n"/>
      <c r="I999" s="10">
        <f>IF(H999&lt;&gt;"",H999,IF(AND(F999&lt;&gt;"",G999&lt;&gt;""),ROUND((G999-F999)*1440,0),""))</f>
        <v/>
      </c>
      <c r="J999" s="26" t="n"/>
      <c r="K999" s="9">
        <f>IF(D999="","",IFERROR(VLOOKUP(D999,参数!$A$5:$C$24,2,0),""))</f>
        <v/>
      </c>
      <c r="L999" s="9">
        <f>IF(D999="","",IFERROR(VLOOKUP(D999,参数!$A$5:$C$24,3,0),""))</f>
        <v/>
      </c>
      <c r="M999" s="21" t="n"/>
      <c r="N999" s="21" t="n"/>
      <c r="O999" s="21" t="n"/>
    </row>
    <row r="1000">
      <c r="A1000" s="24" t="n"/>
      <c r="B1000" s="21" t="n"/>
      <c r="C1000" s="21" t="n"/>
      <c r="D1000" s="21" t="n"/>
      <c r="E1000" s="21" t="n"/>
      <c r="F1000" s="28" t="n"/>
      <c r="G1000" s="28" t="n"/>
      <c r="H1000" s="26" t="n"/>
      <c r="I1000" s="10">
        <f>IF(H1000&lt;&gt;"",H1000,IF(AND(F1000&lt;&gt;"",G1000&lt;&gt;""),ROUND((G1000-F1000)*1440,0),""))</f>
        <v/>
      </c>
      <c r="J1000" s="26" t="n"/>
      <c r="K1000" s="9">
        <f>IF(D1000="","",IFERROR(VLOOKUP(D1000,参数!$A$5:$C$24,2,0),""))</f>
        <v/>
      </c>
      <c r="L1000" s="9">
        <f>IF(D1000="","",IFERROR(VLOOKUP(D1000,参数!$A$5:$C$24,3,0),""))</f>
        <v/>
      </c>
      <c r="M1000" s="21" t="n"/>
      <c r="N1000" s="21" t="n"/>
      <c r="O1000" s="21" t="n"/>
    </row>
    <row r="1001">
      <c r="A1001" s="24" t="n"/>
      <c r="B1001" s="21" t="n"/>
      <c r="C1001" s="21" t="n"/>
      <c r="D1001" s="21" t="n"/>
      <c r="E1001" s="21" t="n"/>
      <c r="F1001" s="28" t="n"/>
      <c r="G1001" s="28" t="n"/>
      <c r="H1001" s="26" t="n"/>
      <c r="I1001" s="10">
        <f>IF(H1001&lt;&gt;"",H1001,IF(AND(F1001&lt;&gt;"",G1001&lt;&gt;""),ROUND((G1001-F1001)*1440,0),""))</f>
        <v/>
      </c>
      <c r="J1001" s="26" t="n"/>
      <c r="K1001" s="9">
        <f>IF(D1001="","",IFERROR(VLOOKUP(D1001,参数!$A$5:$C$24,2,0),""))</f>
        <v/>
      </c>
      <c r="L1001" s="9">
        <f>IF(D1001="","",IFERROR(VLOOKUP(D1001,参数!$A$5:$C$24,3,0),""))</f>
        <v/>
      </c>
      <c r="M1001" s="21" t="n"/>
      <c r="N1001" s="21" t="n"/>
      <c r="O1001" s="21" t="n"/>
    </row>
    <row r="1002">
      <c r="A1002" s="24" t="n"/>
      <c r="B1002" s="21" t="n"/>
      <c r="C1002" s="21" t="n"/>
      <c r="D1002" s="21" t="n"/>
      <c r="E1002" s="21" t="n"/>
      <c r="F1002" s="28" t="n"/>
      <c r="G1002" s="28" t="n"/>
      <c r="H1002" s="26" t="n"/>
      <c r="I1002" s="10">
        <f>IF(H1002&lt;&gt;"",H1002,IF(AND(F1002&lt;&gt;"",G1002&lt;&gt;""),ROUND((G1002-F1002)*1440,0),""))</f>
        <v/>
      </c>
      <c r="J1002" s="26" t="n"/>
      <c r="K1002" s="9">
        <f>IF(D1002="","",IFERROR(VLOOKUP(D1002,参数!$A$5:$C$24,2,0),""))</f>
        <v/>
      </c>
      <c r="L1002" s="9">
        <f>IF(D1002="","",IFERROR(VLOOKUP(D1002,参数!$A$5:$C$24,3,0),""))</f>
        <v/>
      </c>
      <c r="M1002" s="21" t="n"/>
      <c r="N1002" s="21" t="n"/>
      <c r="O1002" s="21" t="n"/>
    </row>
    <row r="1003">
      <c r="A1003" s="24" t="n"/>
      <c r="B1003" s="21" t="n"/>
      <c r="C1003" s="21" t="n"/>
      <c r="D1003" s="21" t="n"/>
      <c r="E1003" s="21" t="n"/>
      <c r="F1003" s="28" t="n"/>
      <c r="G1003" s="28" t="n"/>
      <c r="H1003" s="26" t="n"/>
      <c r="I1003" s="10">
        <f>IF(H1003&lt;&gt;"",H1003,IF(AND(F1003&lt;&gt;"",G1003&lt;&gt;""),ROUND((G1003-F1003)*1440,0),""))</f>
        <v/>
      </c>
      <c r="J1003" s="26" t="n"/>
      <c r="K1003" s="9">
        <f>IF(D1003="","",IFERROR(VLOOKUP(D1003,参数!$A$5:$C$24,2,0),""))</f>
        <v/>
      </c>
      <c r="L1003" s="9">
        <f>IF(D1003="","",IFERROR(VLOOKUP(D1003,参数!$A$5:$C$24,3,0),""))</f>
        <v/>
      </c>
      <c r="M1003" s="21" t="n"/>
      <c r="N1003" s="21" t="n"/>
      <c r="O1003" s="21" t="n"/>
    </row>
    <row r="1004">
      <c r="A1004" s="24" t="n"/>
      <c r="B1004" s="21" t="n"/>
      <c r="C1004" s="21" t="n"/>
      <c r="D1004" s="21" t="n"/>
      <c r="E1004" s="21" t="n"/>
      <c r="F1004" s="28" t="n"/>
      <c r="G1004" s="28" t="n"/>
      <c r="H1004" s="26" t="n"/>
      <c r="I1004" s="10">
        <f>IF(H1004&lt;&gt;"",H1004,IF(AND(F1004&lt;&gt;"",G1004&lt;&gt;""),ROUND((G1004-F1004)*1440,0),""))</f>
        <v/>
      </c>
      <c r="J1004" s="26" t="n"/>
      <c r="K1004" s="9">
        <f>IF(D1004="","",IFERROR(VLOOKUP(D1004,参数!$A$5:$C$24,2,0),""))</f>
        <v/>
      </c>
      <c r="L1004" s="9">
        <f>IF(D1004="","",IFERROR(VLOOKUP(D1004,参数!$A$5:$C$24,3,0),""))</f>
        <v/>
      </c>
      <c r="M1004" s="21" t="n"/>
      <c r="N1004" s="21" t="n"/>
      <c r="O1004" s="21" t="n"/>
    </row>
  </sheetData>
  <dataValidations count="3">
    <dataValidation sqref="C5:C1004" showDropDown="0" showInputMessage="0" showErrorMessage="1" allowBlank="1" error="请从下拉列表中选择" type="list">
      <formula1>参数!$H$5:$H$7</formula1>
    </dataValidation>
    <dataValidation sqref="D5:D1004" showDropDown="0" showInputMessage="0" showErrorMessage="1" allowBlank="1" error="请从下拉列表中选择" type="list">
      <formula1>参数!$A$5:$A$24</formula1>
    </dataValidation>
    <dataValidation sqref="M5:N1004" showDropDown="0" showInputMessage="0" showErrorMessage="1" allowBlank="1" error="请从下拉列表中选择" type="list">
      <formula1>参数!$M$5:$M$6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22" customWidth="1" min="3" max="3"/>
    <col width="40" customWidth="1" min="4" max="4"/>
    <col width="24" customWidth="1" min="5" max="5"/>
  </cols>
  <sheetData>
    <row r="1">
      <c r="A1" s="1" t="inlineStr">
        <is>
          <t>客户互动与质量事件记录</t>
        </is>
      </c>
    </row>
    <row r="2">
      <c r="A2" s="2" t="inlineStr">
        <is>
          <t>老板的主动行为、周报发送结果和质量事件逐条记录，用于计算数据发送率、修改率、主动性等 KPI。</t>
        </is>
      </c>
    </row>
    <row r="4" ht="32" customHeight="1">
      <c r="A4" s="8" t="inlineStr">
        <is>
          <t>日期</t>
        </is>
      </c>
      <c r="B4" s="8" t="inlineStr">
        <is>
          <t>企业编号</t>
        </is>
      </c>
      <c r="C4" s="8" t="inlineStr">
        <is>
          <t>事件类型</t>
        </is>
      </c>
      <c r="D4" s="8" t="inlineStr">
        <is>
          <t>说明</t>
        </is>
      </c>
      <c r="E4" s="8" t="inlineStr">
        <is>
          <t>关联消息/文件</t>
        </is>
      </c>
    </row>
    <row r="5">
      <c r="A5" s="22" t="n">
        <v>46312</v>
      </c>
      <c r="B5" s="20" t="inlineStr">
        <is>
          <t>示例-01</t>
        </is>
      </c>
      <c r="C5" s="20" t="inlineStr">
        <is>
          <t>老板发送数据</t>
        </is>
      </c>
      <c r="D5" s="20" t="inlineStr">
        <is>
          <t>9月销售与应收明细 Excel</t>
        </is>
      </c>
      <c r="E5" s="20" t="inlineStr">
        <is>
          <t>黔味商贸_销售_20261017.xlsx</t>
        </is>
      </c>
    </row>
    <row r="6">
      <c r="A6" s="22" t="n">
        <v>46315</v>
      </c>
      <c r="B6" s="20" t="inlineStr">
        <is>
          <t>示例-01</t>
        </is>
      </c>
      <c r="C6" s="20" t="inlineStr">
        <is>
          <t>周报经修改后发送</t>
        </is>
      </c>
      <c r="D6" s="20" t="inlineStr">
        <is>
          <t>建议空泛，补充了具体客户名单</t>
        </is>
      </c>
      <c r="E6" s="21" t="n"/>
    </row>
    <row r="7">
      <c r="A7" s="22" t="n">
        <v>46316</v>
      </c>
      <c r="B7" s="20" t="inlineStr">
        <is>
          <t>示例-01</t>
        </is>
      </c>
      <c r="C7" s="20" t="inlineStr">
        <is>
          <t>老板主动提问/提需求</t>
        </is>
      </c>
      <c r="D7" s="20" t="inlineStr">
        <is>
          <t>问某大客户是否该收紧账期</t>
        </is>
      </c>
      <c r="E7" s="21" t="n"/>
    </row>
    <row r="8">
      <c r="A8" s="24" t="n"/>
      <c r="B8" s="21" t="n"/>
      <c r="C8" s="21" t="n"/>
      <c r="D8" s="21" t="n"/>
      <c r="E8" s="21" t="n"/>
    </row>
    <row r="9">
      <c r="A9" s="24" t="n"/>
      <c r="B9" s="21" t="n"/>
      <c r="C9" s="21" t="n"/>
      <c r="D9" s="21" t="n"/>
      <c r="E9" s="21" t="n"/>
    </row>
    <row r="10">
      <c r="A10" s="24" t="n"/>
      <c r="B10" s="21" t="n"/>
      <c r="C10" s="21" t="n"/>
      <c r="D10" s="21" t="n"/>
      <c r="E10" s="21" t="n"/>
    </row>
    <row r="11">
      <c r="A11" s="24" t="n"/>
      <c r="B11" s="21" t="n"/>
      <c r="C11" s="21" t="n"/>
      <c r="D11" s="21" t="n"/>
      <c r="E11" s="21" t="n"/>
    </row>
    <row r="12">
      <c r="A12" s="24" t="n"/>
      <c r="B12" s="21" t="n"/>
      <c r="C12" s="21" t="n"/>
      <c r="D12" s="21" t="n"/>
      <c r="E12" s="21" t="n"/>
    </row>
    <row r="13">
      <c r="A13" s="24" t="n"/>
      <c r="B13" s="21" t="n"/>
      <c r="C13" s="21" t="n"/>
      <c r="D13" s="21" t="n"/>
      <c r="E13" s="21" t="n"/>
    </row>
    <row r="14">
      <c r="A14" s="24" t="n"/>
      <c r="B14" s="21" t="n"/>
      <c r="C14" s="21" t="n"/>
      <c r="D14" s="21" t="n"/>
      <c r="E14" s="21" t="n"/>
    </row>
    <row r="15">
      <c r="A15" s="24" t="n"/>
      <c r="B15" s="21" t="n"/>
      <c r="C15" s="21" t="n"/>
      <c r="D15" s="21" t="n"/>
      <c r="E15" s="21" t="n"/>
    </row>
    <row r="16">
      <c r="A16" s="24" t="n"/>
      <c r="B16" s="21" t="n"/>
      <c r="C16" s="21" t="n"/>
      <c r="D16" s="21" t="n"/>
      <c r="E16" s="21" t="n"/>
    </row>
    <row r="17">
      <c r="A17" s="24" t="n"/>
      <c r="B17" s="21" t="n"/>
      <c r="C17" s="21" t="n"/>
      <c r="D17" s="21" t="n"/>
      <c r="E17" s="21" t="n"/>
    </row>
    <row r="18">
      <c r="A18" s="24" t="n"/>
      <c r="B18" s="21" t="n"/>
      <c r="C18" s="21" t="n"/>
      <c r="D18" s="21" t="n"/>
      <c r="E18" s="21" t="n"/>
    </row>
    <row r="19">
      <c r="A19" s="24" t="n"/>
      <c r="B19" s="21" t="n"/>
      <c r="C19" s="21" t="n"/>
      <c r="D19" s="21" t="n"/>
      <c r="E19" s="21" t="n"/>
    </row>
    <row r="20">
      <c r="A20" s="24" t="n"/>
      <c r="B20" s="21" t="n"/>
      <c r="C20" s="21" t="n"/>
      <c r="D20" s="21" t="n"/>
      <c r="E20" s="21" t="n"/>
    </row>
    <row r="21">
      <c r="A21" s="24" t="n"/>
      <c r="B21" s="21" t="n"/>
      <c r="C21" s="21" t="n"/>
      <c r="D21" s="21" t="n"/>
      <c r="E21" s="21" t="n"/>
    </row>
    <row r="22">
      <c r="A22" s="24" t="n"/>
      <c r="B22" s="21" t="n"/>
      <c r="C22" s="21" t="n"/>
      <c r="D22" s="21" t="n"/>
      <c r="E22" s="21" t="n"/>
    </row>
    <row r="23">
      <c r="A23" s="24" t="n"/>
      <c r="B23" s="21" t="n"/>
      <c r="C23" s="21" t="n"/>
      <c r="D23" s="21" t="n"/>
      <c r="E23" s="21" t="n"/>
    </row>
    <row r="24">
      <c r="A24" s="24" t="n"/>
      <c r="B24" s="21" t="n"/>
      <c r="C24" s="21" t="n"/>
      <c r="D24" s="21" t="n"/>
      <c r="E24" s="21" t="n"/>
    </row>
    <row r="25">
      <c r="A25" s="24" t="n"/>
      <c r="B25" s="21" t="n"/>
      <c r="C25" s="21" t="n"/>
      <c r="D25" s="21" t="n"/>
      <c r="E25" s="21" t="n"/>
    </row>
    <row r="26">
      <c r="A26" s="24" t="n"/>
      <c r="B26" s="21" t="n"/>
      <c r="C26" s="21" t="n"/>
      <c r="D26" s="21" t="n"/>
      <c r="E26" s="21" t="n"/>
    </row>
    <row r="27">
      <c r="A27" s="24" t="n"/>
      <c r="B27" s="21" t="n"/>
      <c r="C27" s="21" t="n"/>
      <c r="D27" s="21" t="n"/>
      <c r="E27" s="21" t="n"/>
    </row>
    <row r="28">
      <c r="A28" s="24" t="n"/>
      <c r="B28" s="21" t="n"/>
      <c r="C28" s="21" t="n"/>
      <c r="D28" s="21" t="n"/>
      <c r="E28" s="21" t="n"/>
    </row>
    <row r="29">
      <c r="A29" s="24" t="n"/>
      <c r="B29" s="21" t="n"/>
      <c r="C29" s="21" t="n"/>
      <c r="D29" s="21" t="n"/>
      <c r="E29" s="21" t="n"/>
    </row>
    <row r="30">
      <c r="A30" s="24" t="n"/>
      <c r="B30" s="21" t="n"/>
      <c r="C30" s="21" t="n"/>
      <c r="D30" s="21" t="n"/>
      <c r="E30" s="21" t="n"/>
    </row>
    <row r="31">
      <c r="A31" s="24" t="n"/>
      <c r="B31" s="21" t="n"/>
      <c r="C31" s="21" t="n"/>
      <c r="D31" s="21" t="n"/>
      <c r="E31" s="21" t="n"/>
    </row>
    <row r="32">
      <c r="A32" s="24" t="n"/>
      <c r="B32" s="21" t="n"/>
      <c r="C32" s="21" t="n"/>
      <c r="D32" s="21" t="n"/>
      <c r="E32" s="21" t="n"/>
    </row>
    <row r="33">
      <c r="A33" s="24" t="n"/>
      <c r="B33" s="21" t="n"/>
      <c r="C33" s="21" t="n"/>
      <c r="D33" s="21" t="n"/>
      <c r="E33" s="21" t="n"/>
    </row>
    <row r="34">
      <c r="A34" s="24" t="n"/>
      <c r="B34" s="21" t="n"/>
      <c r="C34" s="21" t="n"/>
      <c r="D34" s="21" t="n"/>
      <c r="E34" s="21" t="n"/>
    </row>
    <row r="35">
      <c r="A35" s="24" t="n"/>
      <c r="B35" s="21" t="n"/>
      <c r="C35" s="21" t="n"/>
      <c r="D35" s="21" t="n"/>
      <c r="E35" s="21" t="n"/>
    </row>
    <row r="36">
      <c r="A36" s="24" t="n"/>
      <c r="B36" s="21" t="n"/>
      <c r="C36" s="21" t="n"/>
      <c r="D36" s="21" t="n"/>
      <c r="E36" s="21" t="n"/>
    </row>
    <row r="37">
      <c r="A37" s="24" t="n"/>
      <c r="B37" s="21" t="n"/>
      <c r="C37" s="21" t="n"/>
      <c r="D37" s="21" t="n"/>
      <c r="E37" s="21" t="n"/>
    </row>
    <row r="38">
      <c r="A38" s="24" t="n"/>
      <c r="B38" s="21" t="n"/>
      <c r="C38" s="21" t="n"/>
      <c r="D38" s="21" t="n"/>
      <c r="E38" s="21" t="n"/>
    </row>
    <row r="39">
      <c r="A39" s="24" t="n"/>
      <c r="B39" s="21" t="n"/>
      <c r="C39" s="21" t="n"/>
      <c r="D39" s="21" t="n"/>
      <c r="E39" s="21" t="n"/>
    </row>
    <row r="40">
      <c r="A40" s="24" t="n"/>
      <c r="B40" s="21" t="n"/>
      <c r="C40" s="21" t="n"/>
      <c r="D40" s="21" t="n"/>
      <c r="E40" s="21" t="n"/>
    </row>
    <row r="41">
      <c r="A41" s="24" t="n"/>
      <c r="B41" s="21" t="n"/>
      <c r="C41" s="21" t="n"/>
      <c r="D41" s="21" t="n"/>
      <c r="E41" s="21" t="n"/>
    </row>
    <row r="42">
      <c r="A42" s="24" t="n"/>
      <c r="B42" s="21" t="n"/>
      <c r="C42" s="21" t="n"/>
      <c r="D42" s="21" t="n"/>
      <c r="E42" s="21" t="n"/>
    </row>
    <row r="43">
      <c r="A43" s="24" t="n"/>
      <c r="B43" s="21" t="n"/>
      <c r="C43" s="21" t="n"/>
      <c r="D43" s="21" t="n"/>
      <c r="E43" s="21" t="n"/>
    </row>
    <row r="44">
      <c r="A44" s="24" t="n"/>
      <c r="B44" s="21" t="n"/>
      <c r="C44" s="21" t="n"/>
      <c r="D44" s="21" t="n"/>
      <c r="E44" s="21" t="n"/>
    </row>
    <row r="45">
      <c r="A45" s="24" t="n"/>
      <c r="B45" s="21" t="n"/>
      <c r="C45" s="21" t="n"/>
      <c r="D45" s="21" t="n"/>
      <c r="E45" s="21" t="n"/>
    </row>
    <row r="46">
      <c r="A46" s="24" t="n"/>
      <c r="B46" s="21" t="n"/>
      <c r="C46" s="21" t="n"/>
      <c r="D46" s="21" t="n"/>
      <c r="E46" s="21" t="n"/>
    </row>
    <row r="47">
      <c r="A47" s="24" t="n"/>
      <c r="B47" s="21" t="n"/>
      <c r="C47" s="21" t="n"/>
      <c r="D47" s="21" t="n"/>
      <c r="E47" s="21" t="n"/>
    </row>
    <row r="48">
      <c r="A48" s="24" t="n"/>
      <c r="B48" s="21" t="n"/>
      <c r="C48" s="21" t="n"/>
      <c r="D48" s="21" t="n"/>
      <c r="E48" s="21" t="n"/>
    </row>
    <row r="49">
      <c r="A49" s="24" t="n"/>
      <c r="B49" s="21" t="n"/>
      <c r="C49" s="21" t="n"/>
      <c r="D49" s="21" t="n"/>
      <c r="E49" s="21" t="n"/>
    </row>
    <row r="50">
      <c r="A50" s="24" t="n"/>
      <c r="B50" s="21" t="n"/>
      <c r="C50" s="21" t="n"/>
      <c r="D50" s="21" t="n"/>
      <c r="E50" s="21" t="n"/>
    </row>
    <row r="51">
      <c r="A51" s="24" t="n"/>
      <c r="B51" s="21" t="n"/>
      <c r="C51" s="21" t="n"/>
      <c r="D51" s="21" t="n"/>
      <c r="E51" s="21" t="n"/>
    </row>
    <row r="52">
      <c r="A52" s="24" t="n"/>
      <c r="B52" s="21" t="n"/>
      <c r="C52" s="21" t="n"/>
      <c r="D52" s="21" t="n"/>
      <c r="E52" s="21" t="n"/>
    </row>
    <row r="53">
      <c r="A53" s="24" t="n"/>
      <c r="B53" s="21" t="n"/>
      <c r="C53" s="21" t="n"/>
      <c r="D53" s="21" t="n"/>
      <c r="E53" s="21" t="n"/>
    </row>
    <row r="54">
      <c r="A54" s="24" t="n"/>
      <c r="B54" s="21" t="n"/>
      <c r="C54" s="21" t="n"/>
      <c r="D54" s="21" t="n"/>
      <c r="E54" s="21" t="n"/>
    </row>
    <row r="55">
      <c r="A55" s="24" t="n"/>
      <c r="B55" s="21" t="n"/>
      <c r="C55" s="21" t="n"/>
      <c r="D55" s="21" t="n"/>
      <c r="E55" s="21" t="n"/>
    </row>
    <row r="56">
      <c r="A56" s="24" t="n"/>
      <c r="B56" s="21" t="n"/>
      <c r="C56" s="21" t="n"/>
      <c r="D56" s="21" t="n"/>
      <c r="E56" s="21" t="n"/>
    </row>
    <row r="57">
      <c r="A57" s="24" t="n"/>
      <c r="B57" s="21" t="n"/>
      <c r="C57" s="21" t="n"/>
      <c r="D57" s="21" t="n"/>
      <c r="E57" s="21" t="n"/>
    </row>
    <row r="58">
      <c r="A58" s="24" t="n"/>
      <c r="B58" s="21" t="n"/>
      <c r="C58" s="21" t="n"/>
      <c r="D58" s="21" t="n"/>
      <c r="E58" s="21" t="n"/>
    </row>
    <row r="59">
      <c r="A59" s="24" t="n"/>
      <c r="B59" s="21" t="n"/>
      <c r="C59" s="21" t="n"/>
      <c r="D59" s="21" t="n"/>
      <c r="E59" s="21" t="n"/>
    </row>
    <row r="60">
      <c r="A60" s="24" t="n"/>
      <c r="B60" s="21" t="n"/>
      <c r="C60" s="21" t="n"/>
      <c r="D60" s="21" t="n"/>
      <c r="E60" s="21" t="n"/>
    </row>
    <row r="61">
      <c r="A61" s="24" t="n"/>
      <c r="B61" s="21" t="n"/>
      <c r="C61" s="21" t="n"/>
      <c r="D61" s="21" t="n"/>
      <c r="E61" s="21" t="n"/>
    </row>
    <row r="62">
      <c r="A62" s="24" t="n"/>
      <c r="B62" s="21" t="n"/>
      <c r="C62" s="21" t="n"/>
      <c r="D62" s="21" t="n"/>
      <c r="E62" s="21" t="n"/>
    </row>
    <row r="63">
      <c r="A63" s="24" t="n"/>
      <c r="B63" s="21" t="n"/>
      <c r="C63" s="21" t="n"/>
      <c r="D63" s="21" t="n"/>
      <c r="E63" s="21" t="n"/>
    </row>
    <row r="64">
      <c r="A64" s="24" t="n"/>
      <c r="B64" s="21" t="n"/>
      <c r="C64" s="21" t="n"/>
      <c r="D64" s="21" t="n"/>
      <c r="E64" s="21" t="n"/>
    </row>
    <row r="65">
      <c r="A65" s="24" t="n"/>
      <c r="B65" s="21" t="n"/>
      <c r="C65" s="21" t="n"/>
      <c r="D65" s="21" t="n"/>
      <c r="E65" s="21" t="n"/>
    </row>
    <row r="66">
      <c r="A66" s="24" t="n"/>
      <c r="B66" s="21" t="n"/>
      <c r="C66" s="21" t="n"/>
      <c r="D66" s="21" t="n"/>
      <c r="E66" s="21" t="n"/>
    </row>
    <row r="67">
      <c r="A67" s="24" t="n"/>
      <c r="B67" s="21" t="n"/>
      <c r="C67" s="21" t="n"/>
      <c r="D67" s="21" t="n"/>
      <c r="E67" s="21" t="n"/>
    </row>
    <row r="68">
      <c r="A68" s="24" t="n"/>
      <c r="B68" s="21" t="n"/>
      <c r="C68" s="21" t="n"/>
      <c r="D68" s="21" t="n"/>
      <c r="E68" s="21" t="n"/>
    </row>
    <row r="69">
      <c r="A69" s="24" t="n"/>
      <c r="B69" s="21" t="n"/>
      <c r="C69" s="21" t="n"/>
      <c r="D69" s="21" t="n"/>
      <c r="E69" s="21" t="n"/>
    </row>
    <row r="70">
      <c r="A70" s="24" t="n"/>
      <c r="B70" s="21" t="n"/>
      <c r="C70" s="21" t="n"/>
      <c r="D70" s="21" t="n"/>
      <c r="E70" s="21" t="n"/>
    </row>
    <row r="71">
      <c r="A71" s="24" t="n"/>
      <c r="B71" s="21" t="n"/>
      <c r="C71" s="21" t="n"/>
      <c r="D71" s="21" t="n"/>
      <c r="E71" s="21" t="n"/>
    </row>
    <row r="72">
      <c r="A72" s="24" t="n"/>
      <c r="B72" s="21" t="n"/>
      <c r="C72" s="21" t="n"/>
      <c r="D72" s="21" t="n"/>
      <c r="E72" s="21" t="n"/>
    </row>
    <row r="73">
      <c r="A73" s="24" t="n"/>
      <c r="B73" s="21" t="n"/>
      <c r="C73" s="21" t="n"/>
      <c r="D73" s="21" t="n"/>
      <c r="E73" s="21" t="n"/>
    </row>
    <row r="74">
      <c r="A74" s="24" t="n"/>
      <c r="B74" s="21" t="n"/>
      <c r="C74" s="21" t="n"/>
      <c r="D74" s="21" t="n"/>
      <c r="E74" s="21" t="n"/>
    </row>
    <row r="75">
      <c r="A75" s="24" t="n"/>
      <c r="B75" s="21" t="n"/>
      <c r="C75" s="21" t="n"/>
      <c r="D75" s="21" t="n"/>
      <c r="E75" s="21" t="n"/>
    </row>
    <row r="76">
      <c r="A76" s="24" t="n"/>
      <c r="B76" s="21" t="n"/>
      <c r="C76" s="21" t="n"/>
      <c r="D76" s="21" t="n"/>
      <c r="E76" s="21" t="n"/>
    </row>
    <row r="77">
      <c r="A77" s="24" t="n"/>
      <c r="B77" s="21" t="n"/>
      <c r="C77" s="21" t="n"/>
      <c r="D77" s="21" t="n"/>
      <c r="E77" s="21" t="n"/>
    </row>
    <row r="78">
      <c r="A78" s="24" t="n"/>
      <c r="B78" s="21" t="n"/>
      <c r="C78" s="21" t="n"/>
      <c r="D78" s="21" t="n"/>
      <c r="E78" s="21" t="n"/>
    </row>
    <row r="79">
      <c r="A79" s="24" t="n"/>
      <c r="B79" s="21" t="n"/>
      <c r="C79" s="21" t="n"/>
      <c r="D79" s="21" t="n"/>
      <c r="E79" s="21" t="n"/>
    </row>
    <row r="80">
      <c r="A80" s="24" t="n"/>
      <c r="B80" s="21" t="n"/>
      <c r="C80" s="21" t="n"/>
      <c r="D80" s="21" t="n"/>
      <c r="E80" s="21" t="n"/>
    </row>
    <row r="81">
      <c r="A81" s="24" t="n"/>
      <c r="B81" s="21" t="n"/>
      <c r="C81" s="21" t="n"/>
      <c r="D81" s="21" t="n"/>
      <c r="E81" s="21" t="n"/>
    </row>
    <row r="82">
      <c r="A82" s="24" t="n"/>
      <c r="B82" s="21" t="n"/>
      <c r="C82" s="21" t="n"/>
      <c r="D82" s="21" t="n"/>
      <c r="E82" s="21" t="n"/>
    </row>
    <row r="83">
      <c r="A83" s="24" t="n"/>
      <c r="B83" s="21" t="n"/>
      <c r="C83" s="21" t="n"/>
      <c r="D83" s="21" t="n"/>
      <c r="E83" s="21" t="n"/>
    </row>
    <row r="84">
      <c r="A84" s="24" t="n"/>
      <c r="B84" s="21" t="n"/>
      <c r="C84" s="21" t="n"/>
      <c r="D84" s="21" t="n"/>
      <c r="E84" s="21" t="n"/>
    </row>
    <row r="85">
      <c r="A85" s="24" t="n"/>
      <c r="B85" s="21" t="n"/>
      <c r="C85" s="21" t="n"/>
      <c r="D85" s="21" t="n"/>
      <c r="E85" s="21" t="n"/>
    </row>
    <row r="86">
      <c r="A86" s="24" t="n"/>
      <c r="B86" s="21" t="n"/>
      <c r="C86" s="21" t="n"/>
      <c r="D86" s="21" t="n"/>
      <c r="E86" s="21" t="n"/>
    </row>
    <row r="87">
      <c r="A87" s="24" t="n"/>
      <c r="B87" s="21" t="n"/>
      <c r="C87" s="21" t="n"/>
      <c r="D87" s="21" t="n"/>
      <c r="E87" s="21" t="n"/>
    </row>
    <row r="88">
      <c r="A88" s="24" t="n"/>
      <c r="B88" s="21" t="n"/>
      <c r="C88" s="21" t="n"/>
      <c r="D88" s="21" t="n"/>
      <c r="E88" s="21" t="n"/>
    </row>
    <row r="89">
      <c r="A89" s="24" t="n"/>
      <c r="B89" s="21" t="n"/>
      <c r="C89" s="21" t="n"/>
      <c r="D89" s="21" t="n"/>
      <c r="E89" s="21" t="n"/>
    </row>
    <row r="90">
      <c r="A90" s="24" t="n"/>
      <c r="B90" s="21" t="n"/>
      <c r="C90" s="21" t="n"/>
      <c r="D90" s="21" t="n"/>
      <c r="E90" s="21" t="n"/>
    </row>
    <row r="91">
      <c r="A91" s="24" t="n"/>
      <c r="B91" s="21" t="n"/>
      <c r="C91" s="21" t="n"/>
      <c r="D91" s="21" t="n"/>
      <c r="E91" s="21" t="n"/>
    </row>
    <row r="92">
      <c r="A92" s="24" t="n"/>
      <c r="B92" s="21" t="n"/>
      <c r="C92" s="21" t="n"/>
      <c r="D92" s="21" t="n"/>
      <c r="E92" s="21" t="n"/>
    </row>
    <row r="93">
      <c r="A93" s="24" t="n"/>
      <c r="B93" s="21" t="n"/>
      <c r="C93" s="21" t="n"/>
      <c r="D93" s="21" t="n"/>
      <c r="E93" s="21" t="n"/>
    </row>
    <row r="94">
      <c r="A94" s="24" t="n"/>
      <c r="B94" s="21" t="n"/>
      <c r="C94" s="21" t="n"/>
      <c r="D94" s="21" t="n"/>
      <c r="E94" s="21" t="n"/>
    </row>
    <row r="95">
      <c r="A95" s="24" t="n"/>
      <c r="B95" s="21" t="n"/>
      <c r="C95" s="21" t="n"/>
      <c r="D95" s="21" t="n"/>
      <c r="E95" s="21" t="n"/>
    </row>
    <row r="96">
      <c r="A96" s="24" t="n"/>
      <c r="B96" s="21" t="n"/>
      <c r="C96" s="21" t="n"/>
      <c r="D96" s="21" t="n"/>
      <c r="E96" s="21" t="n"/>
    </row>
    <row r="97">
      <c r="A97" s="24" t="n"/>
      <c r="B97" s="21" t="n"/>
      <c r="C97" s="21" t="n"/>
      <c r="D97" s="21" t="n"/>
      <c r="E97" s="21" t="n"/>
    </row>
    <row r="98">
      <c r="A98" s="24" t="n"/>
      <c r="B98" s="21" t="n"/>
      <c r="C98" s="21" t="n"/>
      <c r="D98" s="21" t="n"/>
      <c r="E98" s="21" t="n"/>
    </row>
    <row r="99">
      <c r="A99" s="24" t="n"/>
      <c r="B99" s="21" t="n"/>
      <c r="C99" s="21" t="n"/>
      <c r="D99" s="21" t="n"/>
      <c r="E99" s="21" t="n"/>
    </row>
    <row r="100">
      <c r="A100" s="24" t="n"/>
      <c r="B100" s="21" t="n"/>
      <c r="C100" s="21" t="n"/>
      <c r="D100" s="21" t="n"/>
      <c r="E100" s="21" t="n"/>
    </row>
    <row r="101">
      <c r="A101" s="24" t="n"/>
      <c r="B101" s="21" t="n"/>
      <c r="C101" s="21" t="n"/>
      <c r="D101" s="21" t="n"/>
      <c r="E101" s="21" t="n"/>
    </row>
    <row r="102">
      <c r="A102" s="24" t="n"/>
      <c r="B102" s="21" t="n"/>
      <c r="C102" s="21" t="n"/>
      <c r="D102" s="21" t="n"/>
      <c r="E102" s="21" t="n"/>
    </row>
    <row r="103">
      <c r="A103" s="24" t="n"/>
      <c r="B103" s="21" t="n"/>
      <c r="C103" s="21" t="n"/>
      <c r="D103" s="21" t="n"/>
      <c r="E103" s="21" t="n"/>
    </row>
    <row r="104">
      <c r="A104" s="24" t="n"/>
      <c r="B104" s="21" t="n"/>
      <c r="C104" s="21" t="n"/>
      <c r="D104" s="21" t="n"/>
      <c r="E104" s="21" t="n"/>
    </row>
    <row r="105">
      <c r="A105" s="24" t="n"/>
      <c r="B105" s="21" t="n"/>
      <c r="C105" s="21" t="n"/>
      <c r="D105" s="21" t="n"/>
      <c r="E105" s="21" t="n"/>
    </row>
    <row r="106">
      <c r="A106" s="24" t="n"/>
      <c r="B106" s="21" t="n"/>
      <c r="C106" s="21" t="n"/>
      <c r="D106" s="21" t="n"/>
      <c r="E106" s="21" t="n"/>
    </row>
    <row r="107">
      <c r="A107" s="24" t="n"/>
      <c r="B107" s="21" t="n"/>
      <c r="C107" s="21" t="n"/>
      <c r="D107" s="21" t="n"/>
      <c r="E107" s="21" t="n"/>
    </row>
    <row r="108">
      <c r="A108" s="24" t="n"/>
      <c r="B108" s="21" t="n"/>
      <c r="C108" s="21" t="n"/>
      <c r="D108" s="21" t="n"/>
      <c r="E108" s="21" t="n"/>
    </row>
    <row r="109">
      <c r="A109" s="24" t="n"/>
      <c r="B109" s="21" t="n"/>
      <c r="C109" s="21" t="n"/>
      <c r="D109" s="21" t="n"/>
      <c r="E109" s="21" t="n"/>
    </row>
    <row r="110">
      <c r="A110" s="24" t="n"/>
      <c r="B110" s="21" t="n"/>
      <c r="C110" s="21" t="n"/>
      <c r="D110" s="21" t="n"/>
      <c r="E110" s="21" t="n"/>
    </row>
    <row r="111">
      <c r="A111" s="24" t="n"/>
      <c r="B111" s="21" t="n"/>
      <c r="C111" s="21" t="n"/>
      <c r="D111" s="21" t="n"/>
      <c r="E111" s="21" t="n"/>
    </row>
    <row r="112">
      <c r="A112" s="24" t="n"/>
      <c r="B112" s="21" t="n"/>
      <c r="C112" s="21" t="n"/>
      <c r="D112" s="21" t="n"/>
      <c r="E112" s="21" t="n"/>
    </row>
    <row r="113">
      <c r="A113" s="24" t="n"/>
      <c r="B113" s="21" t="n"/>
      <c r="C113" s="21" t="n"/>
      <c r="D113" s="21" t="n"/>
      <c r="E113" s="21" t="n"/>
    </row>
    <row r="114">
      <c r="A114" s="24" t="n"/>
      <c r="B114" s="21" t="n"/>
      <c r="C114" s="21" t="n"/>
      <c r="D114" s="21" t="n"/>
      <c r="E114" s="21" t="n"/>
    </row>
    <row r="115">
      <c r="A115" s="24" t="n"/>
      <c r="B115" s="21" t="n"/>
      <c r="C115" s="21" t="n"/>
      <c r="D115" s="21" t="n"/>
      <c r="E115" s="21" t="n"/>
    </row>
    <row r="116">
      <c r="A116" s="24" t="n"/>
      <c r="B116" s="21" t="n"/>
      <c r="C116" s="21" t="n"/>
      <c r="D116" s="21" t="n"/>
      <c r="E116" s="21" t="n"/>
    </row>
    <row r="117">
      <c r="A117" s="24" t="n"/>
      <c r="B117" s="21" t="n"/>
      <c r="C117" s="21" t="n"/>
      <c r="D117" s="21" t="n"/>
      <c r="E117" s="21" t="n"/>
    </row>
    <row r="118">
      <c r="A118" s="24" t="n"/>
      <c r="B118" s="21" t="n"/>
      <c r="C118" s="21" t="n"/>
      <c r="D118" s="21" t="n"/>
      <c r="E118" s="21" t="n"/>
    </row>
    <row r="119">
      <c r="A119" s="24" t="n"/>
      <c r="B119" s="21" t="n"/>
      <c r="C119" s="21" t="n"/>
      <c r="D119" s="21" t="n"/>
      <c r="E119" s="21" t="n"/>
    </row>
    <row r="120">
      <c r="A120" s="24" t="n"/>
      <c r="B120" s="21" t="n"/>
      <c r="C120" s="21" t="n"/>
      <c r="D120" s="21" t="n"/>
      <c r="E120" s="21" t="n"/>
    </row>
    <row r="121">
      <c r="A121" s="24" t="n"/>
      <c r="B121" s="21" t="n"/>
      <c r="C121" s="21" t="n"/>
      <c r="D121" s="21" t="n"/>
      <c r="E121" s="21" t="n"/>
    </row>
    <row r="122">
      <c r="A122" s="24" t="n"/>
      <c r="B122" s="21" t="n"/>
      <c r="C122" s="21" t="n"/>
      <c r="D122" s="21" t="n"/>
      <c r="E122" s="21" t="n"/>
    </row>
    <row r="123">
      <c r="A123" s="24" t="n"/>
      <c r="B123" s="21" t="n"/>
      <c r="C123" s="21" t="n"/>
      <c r="D123" s="21" t="n"/>
      <c r="E123" s="21" t="n"/>
    </row>
    <row r="124">
      <c r="A124" s="24" t="n"/>
      <c r="B124" s="21" t="n"/>
      <c r="C124" s="21" t="n"/>
      <c r="D124" s="21" t="n"/>
      <c r="E124" s="21" t="n"/>
    </row>
    <row r="125">
      <c r="A125" s="24" t="n"/>
      <c r="B125" s="21" t="n"/>
      <c r="C125" s="21" t="n"/>
      <c r="D125" s="21" t="n"/>
      <c r="E125" s="21" t="n"/>
    </row>
    <row r="126">
      <c r="A126" s="24" t="n"/>
      <c r="B126" s="21" t="n"/>
      <c r="C126" s="21" t="n"/>
      <c r="D126" s="21" t="n"/>
      <c r="E126" s="21" t="n"/>
    </row>
    <row r="127">
      <c r="A127" s="24" t="n"/>
      <c r="B127" s="21" t="n"/>
      <c r="C127" s="21" t="n"/>
      <c r="D127" s="21" t="n"/>
      <c r="E127" s="21" t="n"/>
    </row>
    <row r="128">
      <c r="A128" s="24" t="n"/>
      <c r="B128" s="21" t="n"/>
      <c r="C128" s="21" t="n"/>
      <c r="D128" s="21" t="n"/>
      <c r="E128" s="21" t="n"/>
    </row>
    <row r="129">
      <c r="A129" s="24" t="n"/>
      <c r="B129" s="21" t="n"/>
      <c r="C129" s="21" t="n"/>
      <c r="D129" s="21" t="n"/>
      <c r="E129" s="21" t="n"/>
    </row>
    <row r="130">
      <c r="A130" s="24" t="n"/>
      <c r="B130" s="21" t="n"/>
      <c r="C130" s="21" t="n"/>
      <c r="D130" s="21" t="n"/>
      <c r="E130" s="21" t="n"/>
    </row>
    <row r="131">
      <c r="A131" s="24" t="n"/>
      <c r="B131" s="21" t="n"/>
      <c r="C131" s="21" t="n"/>
      <c r="D131" s="21" t="n"/>
      <c r="E131" s="21" t="n"/>
    </row>
    <row r="132">
      <c r="A132" s="24" t="n"/>
      <c r="B132" s="21" t="n"/>
      <c r="C132" s="21" t="n"/>
      <c r="D132" s="21" t="n"/>
      <c r="E132" s="21" t="n"/>
    </row>
    <row r="133">
      <c r="A133" s="24" t="n"/>
      <c r="B133" s="21" t="n"/>
      <c r="C133" s="21" t="n"/>
      <c r="D133" s="21" t="n"/>
      <c r="E133" s="21" t="n"/>
    </row>
    <row r="134">
      <c r="A134" s="24" t="n"/>
      <c r="B134" s="21" t="n"/>
      <c r="C134" s="21" t="n"/>
      <c r="D134" s="21" t="n"/>
      <c r="E134" s="21" t="n"/>
    </row>
    <row r="135">
      <c r="A135" s="24" t="n"/>
      <c r="B135" s="21" t="n"/>
      <c r="C135" s="21" t="n"/>
      <c r="D135" s="21" t="n"/>
      <c r="E135" s="21" t="n"/>
    </row>
    <row r="136">
      <c r="A136" s="24" t="n"/>
      <c r="B136" s="21" t="n"/>
      <c r="C136" s="21" t="n"/>
      <c r="D136" s="21" t="n"/>
      <c r="E136" s="21" t="n"/>
    </row>
    <row r="137">
      <c r="A137" s="24" t="n"/>
      <c r="B137" s="21" t="n"/>
      <c r="C137" s="21" t="n"/>
      <c r="D137" s="21" t="n"/>
      <c r="E137" s="21" t="n"/>
    </row>
    <row r="138">
      <c r="A138" s="24" t="n"/>
      <c r="B138" s="21" t="n"/>
      <c r="C138" s="21" t="n"/>
      <c r="D138" s="21" t="n"/>
      <c r="E138" s="21" t="n"/>
    </row>
    <row r="139">
      <c r="A139" s="24" t="n"/>
      <c r="B139" s="21" t="n"/>
      <c r="C139" s="21" t="n"/>
      <c r="D139" s="21" t="n"/>
      <c r="E139" s="21" t="n"/>
    </row>
    <row r="140">
      <c r="A140" s="24" t="n"/>
      <c r="B140" s="21" t="n"/>
      <c r="C140" s="21" t="n"/>
      <c r="D140" s="21" t="n"/>
      <c r="E140" s="21" t="n"/>
    </row>
    <row r="141">
      <c r="A141" s="24" t="n"/>
      <c r="B141" s="21" t="n"/>
      <c r="C141" s="21" t="n"/>
      <c r="D141" s="21" t="n"/>
      <c r="E141" s="21" t="n"/>
    </row>
    <row r="142">
      <c r="A142" s="24" t="n"/>
      <c r="B142" s="21" t="n"/>
      <c r="C142" s="21" t="n"/>
      <c r="D142" s="21" t="n"/>
      <c r="E142" s="21" t="n"/>
    </row>
    <row r="143">
      <c r="A143" s="24" t="n"/>
      <c r="B143" s="21" t="n"/>
      <c r="C143" s="21" t="n"/>
      <c r="D143" s="21" t="n"/>
      <c r="E143" s="21" t="n"/>
    </row>
    <row r="144">
      <c r="A144" s="24" t="n"/>
      <c r="B144" s="21" t="n"/>
      <c r="C144" s="21" t="n"/>
      <c r="D144" s="21" t="n"/>
      <c r="E144" s="21" t="n"/>
    </row>
    <row r="145">
      <c r="A145" s="24" t="n"/>
      <c r="B145" s="21" t="n"/>
      <c r="C145" s="21" t="n"/>
      <c r="D145" s="21" t="n"/>
      <c r="E145" s="21" t="n"/>
    </row>
    <row r="146">
      <c r="A146" s="24" t="n"/>
      <c r="B146" s="21" t="n"/>
      <c r="C146" s="21" t="n"/>
      <c r="D146" s="21" t="n"/>
      <c r="E146" s="21" t="n"/>
    </row>
    <row r="147">
      <c r="A147" s="24" t="n"/>
      <c r="B147" s="21" t="n"/>
      <c r="C147" s="21" t="n"/>
      <c r="D147" s="21" t="n"/>
      <c r="E147" s="21" t="n"/>
    </row>
    <row r="148">
      <c r="A148" s="24" t="n"/>
      <c r="B148" s="21" t="n"/>
      <c r="C148" s="21" t="n"/>
      <c r="D148" s="21" t="n"/>
      <c r="E148" s="21" t="n"/>
    </row>
    <row r="149">
      <c r="A149" s="24" t="n"/>
      <c r="B149" s="21" t="n"/>
      <c r="C149" s="21" t="n"/>
      <c r="D149" s="21" t="n"/>
      <c r="E149" s="21" t="n"/>
    </row>
    <row r="150">
      <c r="A150" s="24" t="n"/>
      <c r="B150" s="21" t="n"/>
      <c r="C150" s="21" t="n"/>
      <c r="D150" s="21" t="n"/>
      <c r="E150" s="21" t="n"/>
    </row>
    <row r="151">
      <c r="A151" s="24" t="n"/>
      <c r="B151" s="21" t="n"/>
      <c r="C151" s="21" t="n"/>
      <c r="D151" s="21" t="n"/>
      <c r="E151" s="21" t="n"/>
    </row>
    <row r="152">
      <c r="A152" s="24" t="n"/>
      <c r="B152" s="21" t="n"/>
      <c r="C152" s="21" t="n"/>
      <c r="D152" s="21" t="n"/>
      <c r="E152" s="21" t="n"/>
    </row>
    <row r="153">
      <c r="A153" s="24" t="n"/>
      <c r="B153" s="21" t="n"/>
      <c r="C153" s="21" t="n"/>
      <c r="D153" s="21" t="n"/>
      <c r="E153" s="21" t="n"/>
    </row>
    <row r="154">
      <c r="A154" s="24" t="n"/>
      <c r="B154" s="21" t="n"/>
      <c r="C154" s="21" t="n"/>
      <c r="D154" s="21" t="n"/>
      <c r="E154" s="21" t="n"/>
    </row>
    <row r="155">
      <c r="A155" s="24" t="n"/>
      <c r="B155" s="21" t="n"/>
      <c r="C155" s="21" t="n"/>
      <c r="D155" s="21" t="n"/>
      <c r="E155" s="21" t="n"/>
    </row>
    <row r="156">
      <c r="A156" s="24" t="n"/>
      <c r="B156" s="21" t="n"/>
      <c r="C156" s="21" t="n"/>
      <c r="D156" s="21" t="n"/>
      <c r="E156" s="21" t="n"/>
    </row>
    <row r="157">
      <c r="A157" s="24" t="n"/>
      <c r="B157" s="21" t="n"/>
      <c r="C157" s="21" t="n"/>
      <c r="D157" s="21" t="n"/>
      <c r="E157" s="21" t="n"/>
    </row>
    <row r="158">
      <c r="A158" s="24" t="n"/>
      <c r="B158" s="21" t="n"/>
      <c r="C158" s="21" t="n"/>
      <c r="D158" s="21" t="n"/>
      <c r="E158" s="21" t="n"/>
    </row>
    <row r="159">
      <c r="A159" s="24" t="n"/>
      <c r="B159" s="21" t="n"/>
      <c r="C159" s="21" t="n"/>
      <c r="D159" s="21" t="n"/>
      <c r="E159" s="21" t="n"/>
    </row>
    <row r="160">
      <c r="A160" s="24" t="n"/>
      <c r="B160" s="21" t="n"/>
      <c r="C160" s="21" t="n"/>
      <c r="D160" s="21" t="n"/>
      <c r="E160" s="21" t="n"/>
    </row>
    <row r="161">
      <c r="A161" s="24" t="n"/>
      <c r="B161" s="21" t="n"/>
      <c r="C161" s="21" t="n"/>
      <c r="D161" s="21" t="n"/>
      <c r="E161" s="21" t="n"/>
    </row>
    <row r="162">
      <c r="A162" s="24" t="n"/>
      <c r="B162" s="21" t="n"/>
      <c r="C162" s="21" t="n"/>
      <c r="D162" s="21" t="n"/>
      <c r="E162" s="21" t="n"/>
    </row>
    <row r="163">
      <c r="A163" s="24" t="n"/>
      <c r="B163" s="21" t="n"/>
      <c r="C163" s="21" t="n"/>
      <c r="D163" s="21" t="n"/>
      <c r="E163" s="21" t="n"/>
    </row>
    <row r="164">
      <c r="A164" s="24" t="n"/>
      <c r="B164" s="21" t="n"/>
      <c r="C164" s="21" t="n"/>
      <c r="D164" s="21" t="n"/>
      <c r="E164" s="21" t="n"/>
    </row>
    <row r="165">
      <c r="A165" s="24" t="n"/>
      <c r="B165" s="21" t="n"/>
      <c r="C165" s="21" t="n"/>
      <c r="D165" s="21" t="n"/>
      <c r="E165" s="21" t="n"/>
    </row>
    <row r="166">
      <c r="A166" s="24" t="n"/>
      <c r="B166" s="21" t="n"/>
      <c r="C166" s="21" t="n"/>
      <c r="D166" s="21" t="n"/>
      <c r="E166" s="21" t="n"/>
    </row>
    <row r="167">
      <c r="A167" s="24" t="n"/>
      <c r="B167" s="21" t="n"/>
      <c r="C167" s="21" t="n"/>
      <c r="D167" s="21" t="n"/>
      <c r="E167" s="21" t="n"/>
    </row>
    <row r="168">
      <c r="A168" s="24" t="n"/>
      <c r="B168" s="21" t="n"/>
      <c r="C168" s="21" t="n"/>
      <c r="D168" s="21" t="n"/>
      <c r="E168" s="21" t="n"/>
    </row>
    <row r="169">
      <c r="A169" s="24" t="n"/>
      <c r="B169" s="21" t="n"/>
      <c r="C169" s="21" t="n"/>
      <c r="D169" s="21" t="n"/>
      <c r="E169" s="21" t="n"/>
    </row>
    <row r="170">
      <c r="A170" s="24" t="n"/>
      <c r="B170" s="21" t="n"/>
      <c r="C170" s="21" t="n"/>
      <c r="D170" s="21" t="n"/>
      <c r="E170" s="21" t="n"/>
    </row>
    <row r="171">
      <c r="A171" s="24" t="n"/>
      <c r="B171" s="21" t="n"/>
      <c r="C171" s="21" t="n"/>
      <c r="D171" s="21" t="n"/>
      <c r="E171" s="21" t="n"/>
    </row>
    <row r="172">
      <c r="A172" s="24" t="n"/>
      <c r="B172" s="21" t="n"/>
      <c r="C172" s="21" t="n"/>
      <c r="D172" s="21" t="n"/>
      <c r="E172" s="21" t="n"/>
    </row>
    <row r="173">
      <c r="A173" s="24" t="n"/>
      <c r="B173" s="21" t="n"/>
      <c r="C173" s="21" t="n"/>
      <c r="D173" s="21" t="n"/>
      <c r="E173" s="21" t="n"/>
    </row>
    <row r="174">
      <c r="A174" s="24" t="n"/>
      <c r="B174" s="21" t="n"/>
      <c r="C174" s="21" t="n"/>
      <c r="D174" s="21" t="n"/>
      <c r="E174" s="21" t="n"/>
    </row>
    <row r="175">
      <c r="A175" s="24" t="n"/>
      <c r="B175" s="21" t="n"/>
      <c r="C175" s="21" t="n"/>
      <c r="D175" s="21" t="n"/>
      <c r="E175" s="21" t="n"/>
    </row>
    <row r="176">
      <c r="A176" s="24" t="n"/>
      <c r="B176" s="21" t="n"/>
      <c r="C176" s="21" t="n"/>
      <c r="D176" s="21" t="n"/>
      <c r="E176" s="21" t="n"/>
    </row>
    <row r="177">
      <c r="A177" s="24" t="n"/>
      <c r="B177" s="21" t="n"/>
      <c r="C177" s="21" t="n"/>
      <c r="D177" s="21" t="n"/>
      <c r="E177" s="21" t="n"/>
    </row>
    <row r="178">
      <c r="A178" s="24" t="n"/>
      <c r="B178" s="21" t="n"/>
      <c r="C178" s="21" t="n"/>
      <c r="D178" s="21" t="n"/>
      <c r="E178" s="21" t="n"/>
    </row>
    <row r="179">
      <c r="A179" s="24" t="n"/>
      <c r="B179" s="21" t="n"/>
      <c r="C179" s="21" t="n"/>
      <c r="D179" s="21" t="n"/>
      <c r="E179" s="21" t="n"/>
    </row>
    <row r="180">
      <c r="A180" s="24" t="n"/>
      <c r="B180" s="21" t="n"/>
      <c r="C180" s="21" t="n"/>
      <c r="D180" s="21" t="n"/>
      <c r="E180" s="21" t="n"/>
    </row>
    <row r="181">
      <c r="A181" s="24" t="n"/>
      <c r="B181" s="21" t="n"/>
      <c r="C181" s="21" t="n"/>
      <c r="D181" s="21" t="n"/>
      <c r="E181" s="21" t="n"/>
    </row>
    <row r="182">
      <c r="A182" s="24" t="n"/>
      <c r="B182" s="21" t="n"/>
      <c r="C182" s="21" t="n"/>
      <c r="D182" s="21" t="n"/>
      <c r="E182" s="21" t="n"/>
    </row>
    <row r="183">
      <c r="A183" s="24" t="n"/>
      <c r="B183" s="21" t="n"/>
      <c r="C183" s="21" t="n"/>
      <c r="D183" s="21" t="n"/>
      <c r="E183" s="21" t="n"/>
    </row>
    <row r="184">
      <c r="A184" s="24" t="n"/>
      <c r="B184" s="21" t="n"/>
      <c r="C184" s="21" t="n"/>
      <c r="D184" s="21" t="n"/>
      <c r="E184" s="21" t="n"/>
    </row>
    <row r="185">
      <c r="A185" s="24" t="n"/>
      <c r="B185" s="21" t="n"/>
      <c r="C185" s="21" t="n"/>
      <c r="D185" s="21" t="n"/>
      <c r="E185" s="21" t="n"/>
    </row>
    <row r="186">
      <c r="A186" s="24" t="n"/>
      <c r="B186" s="21" t="n"/>
      <c r="C186" s="21" t="n"/>
      <c r="D186" s="21" t="n"/>
      <c r="E186" s="21" t="n"/>
    </row>
    <row r="187">
      <c r="A187" s="24" t="n"/>
      <c r="B187" s="21" t="n"/>
      <c r="C187" s="21" t="n"/>
      <c r="D187" s="21" t="n"/>
      <c r="E187" s="21" t="n"/>
    </row>
    <row r="188">
      <c r="A188" s="24" t="n"/>
      <c r="B188" s="21" t="n"/>
      <c r="C188" s="21" t="n"/>
      <c r="D188" s="21" t="n"/>
      <c r="E188" s="21" t="n"/>
    </row>
    <row r="189">
      <c r="A189" s="24" t="n"/>
      <c r="B189" s="21" t="n"/>
      <c r="C189" s="21" t="n"/>
      <c r="D189" s="21" t="n"/>
      <c r="E189" s="21" t="n"/>
    </row>
    <row r="190">
      <c r="A190" s="24" t="n"/>
      <c r="B190" s="21" t="n"/>
      <c r="C190" s="21" t="n"/>
      <c r="D190" s="21" t="n"/>
      <c r="E190" s="21" t="n"/>
    </row>
    <row r="191">
      <c r="A191" s="24" t="n"/>
      <c r="B191" s="21" t="n"/>
      <c r="C191" s="21" t="n"/>
      <c r="D191" s="21" t="n"/>
      <c r="E191" s="21" t="n"/>
    </row>
    <row r="192">
      <c r="A192" s="24" t="n"/>
      <c r="B192" s="21" t="n"/>
      <c r="C192" s="21" t="n"/>
      <c r="D192" s="21" t="n"/>
      <c r="E192" s="21" t="n"/>
    </row>
    <row r="193">
      <c r="A193" s="24" t="n"/>
      <c r="B193" s="21" t="n"/>
      <c r="C193" s="21" t="n"/>
      <c r="D193" s="21" t="n"/>
      <c r="E193" s="21" t="n"/>
    </row>
    <row r="194">
      <c r="A194" s="24" t="n"/>
      <c r="B194" s="21" t="n"/>
      <c r="C194" s="21" t="n"/>
      <c r="D194" s="21" t="n"/>
      <c r="E194" s="21" t="n"/>
    </row>
    <row r="195">
      <c r="A195" s="24" t="n"/>
      <c r="B195" s="21" t="n"/>
      <c r="C195" s="21" t="n"/>
      <c r="D195" s="21" t="n"/>
      <c r="E195" s="21" t="n"/>
    </row>
    <row r="196">
      <c r="A196" s="24" t="n"/>
      <c r="B196" s="21" t="n"/>
      <c r="C196" s="21" t="n"/>
      <c r="D196" s="21" t="n"/>
      <c r="E196" s="21" t="n"/>
    </row>
    <row r="197">
      <c r="A197" s="24" t="n"/>
      <c r="B197" s="21" t="n"/>
      <c r="C197" s="21" t="n"/>
      <c r="D197" s="21" t="n"/>
      <c r="E197" s="21" t="n"/>
    </row>
    <row r="198">
      <c r="A198" s="24" t="n"/>
      <c r="B198" s="21" t="n"/>
      <c r="C198" s="21" t="n"/>
      <c r="D198" s="21" t="n"/>
      <c r="E198" s="21" t="n"/>
    </row>
    <row r="199">
      <c r="A199" s="24" t="n"/>
      <c r="B199" s="21" t="n"/>
      <c r="C199" s="21" t="n"/>
      <c r="D199" s="21" t="n"/>
      <c r="E199" s="21" t="n"/>
    </row>
    <row r="200">
      <c r="A200" s="24" t="n"/>
      <c r="B200" s="21" t="n"/>
      <c r="C200" s="21" t="n"/>
      <c r="D200" s="21" t="n"/>
      <c r="E200" s="21" t="n"/>
    </row>
    <row r="201">
      <c r="A201" s="24" t="n"/>
      <c r="B201" s="21" t="n"/>
      <c r="C201" s="21" t="n"/>
      <c r="D201" s="21" t="n"/>
      <c r="E201" s="21" t="n"/>
    </row>
    <row r="202">
      <c r="A202" s="24" t="n"/>
      <c r="B202" s="21" t="n"/>
      <c r="C202" s="21" t="n"/>
      <c r="D202" s="21" t="n"/>
      <c r="E202" s="21" t="n"/>
    </row>
    <row r="203">
      <c r="A203" s="24" t="n"/>
      <c r="B203" s="21" t="n"/>
      <c r="C203" s="21" t="n"/>
      <c r="D203" s="21" t="n"/>
      <c r="E203" s="21" t="n"/>
    </row>
    <row r="204">
      <c r="A204" s="24" t="n"/>
      <c r="B204" s="21" t="n"/>
      <c r="C204" s="21" t="n"/>
      <c r="D204" s="21" t="n"/>
      <c r="E204" s="21" t="n"/>
    </row>
    <row r="205">
      <c r="A205" s="24" t="n"/>
      <c r="B205" s="21" t="n"/>
      <c r="C205" s="21" t="n"/>
      <c r="D205" s="21" t="n"/>
      <c r="E205" s="21" t="n"/>
    </row>
    <row r="206">
      <c r="A206" s="24" t="n"/>
      <c r="B206" s="21" t="n"/>
      <c r="C206" s="21" t="n"/>
      <c r="D206" s="21" t="n"/>
      <c r="E206" s="21" t="n"/>
    </row>
    <row r="207">
      <c r="A207" s="24" t="n"/>
      <c r="B207" s="21" t="n"/>
      <c r="C207" s="21" t="n"/>
      <c r="D207" s="21" t="n"/>
      <c r="E207" s="21" t="n"/>
    </row>
    <row r="208">
      <c r="A208" s="24" t="n"/>
      <c r="B208" s="21" t="n"/>
      <c r="C208" s="21" t="n"/>
      <c r="D208" s="21" t="n"/>
      <c r="E208" s="21" t="n"/>
    </row>
    <row r="209">
      <c r="A209" s="24" t="n"/>
      <c r="B209" s="21" t="n"/>
      <c r="C209" s="21" t="n"/>
      <c r="D209" s="21" t="n"/>
      <c r="E209" s="21" t="n"/>
    </row>
    <row r="210">
      <c r="A210" s="24" t="n"/>
      <c r="B210" s="21" t="n"/>
      <c r="C210" s="21" t="n"/>
      <c r="D210" s="21" t="n"/>
      <c r="E210" s="21" t="n"/>
    </row>
    <row r="211">
      <c r="A211" s="24" t="n"/>
      <c r="B211" s="21" t="n"/>
      <c r="C211" s="21" t="n"/>
      <c r="D211" s="21" t="n"/>
      <c r="E211" s="21" t="n"/>
    </row>
    <row r="212">
      <c r="A212" s="24" t="n"/>
      <c r="B212" s="21" t="n"/>
      <c r="C212" s="21" t="n"/>
      <c r="D212" s="21" t="n"/>
      <c r="E212" s="21" t="n"/>
    </row>
    <row r="213">
      <c r="A213" s="24" t="n"/>
      <c r="B213" s="21" t="n"/>
      <c r="C213" s="21" t="n"/>
      <c r="D213" s="21" t="n"/>
      <c r="E213" s="21" t="n"/>
    </row>
    <row r="214">
      <c r="A214" s="24" t="n"/>
      <c r="B214" s="21" t="n"/>
      <c r="C214" s="21" t="n"/>
      <c r="D214" s="21" t="n"/>
      <c r="E214" s="21" t="n"/>
    </row>
    <row r="215">
      <c r="A215" s="24" t="n"/>
      <c r="B215" s="21" t="n"/>
      <c r="C215" s="21" t="n"/>
      <c r="D215" s="21" t="n"/>
      <c r="E215" s="21" t="n"/>
    </row>
    <row r="216">
      <c r="A216" s="24" t="n"/>
      <c r="B216" s="21" t="n"/>
      <c r="C216" s="21" t="n"/>
      <c r="D216" s="21" t="n"/>
      <c r="E216" s="21" t="n"/>
    </row>
    <row r="217">
      <c r="A217" s="24" t="n"/>
      <c r="B217" s="21" t="n"/>
      <c r="C217" s="21" t="n"/>
      <c r="D217" s="21" t="n"/>
      <c r="E217" s="21" t="n"/>
    </row>
    <row r="218">
      <c r="A218" s="24" t="n"/>
      <c r="B218" s="21" t="n"/>
      <c r="C218" s="21" t="n"/>
      <c r="D218" s="21" t="n"/>
      <c r="E218" s="21" t="n"/>
    </row>
    <row r="219">
      <c r="A219" s="24" t="n"/>
      <c r="B219" s="21" t="n"/>
      <c r="C219" s="21" t="n"/>
      <c r="D219" s="21" t="n"/>
      <c r="E219" s="21" t="n"/>
    </row>
    <row r="220">
      <c r="A220" s="24" t="n"/>
      <c r="B220" s="21" t="n"/>
      <c r="C220" s="21" t="n"/>
      <c r="D220" s="21" t="n"/>
      <c r="E220" s="21" t="n"/>
    </row>
    <row r="221">
      <c r="A221" s="24" t="n"/>
      <c r="B221" s="21" t="n"/>
      <c r="C221" s="21" t="n"/>
      <c r="D221" s="21" t="n"/>
      <c r="E221" s="21" t="n"/>
    </row>
    <row r="222">
      <c r="A222" s="24" t="n"/>
      <c r="B222" s="21" t="n"/>
      <c r="C222" s="21" t="n"/>
      <c r="D222" s="21" t="n"/>
      <c r="E222" s="21" t="n"/>
    </row>
    <row r="223">
      <c r="A223" s="24" t="n"/>
      <c r="B223" s="21" t="n"/>
      <c r="C223" s="21" t="n"/>
      <c r="D223" s="21" t="n"/>
      <c r="E223" s="21" t="n"/>
    </row>
    <row r="224">
      <c r="A224" s="24" t="n"/>
      <c r="B224" s="21" t="n"/>
      <c r="C224" s="21" t="n"/>
      <c r="D224" s="21" t="n"/>
      <c r="E224" s="21" t="n"/>
    </row>
    <row r="225">
      <c r="A225" s="24" t="n"/>
      <c r="B225" s="21" t="n"/>
      <c r="C225" s="21" t="n"/>
      <c r="D225" s="21" t="n"/>
      <c r="E225" s="21" t="n"/>
    </row>
    <row r="226">
      <c r="A226" s="24" t="n"/>
      <c r="B226" s="21" t="n"/>
      <c r="C226" s="21" t="n"/>
      <c r="D226" s="21" t="n"/>
      <c r="E226" s="21" t="n"/>
    </row>
    <row r="227">
      <c r="A227" s="24" t="n"/>
      <c r="B227" s="21" t="n"/>
      <c r="C227" s="21" t="n"/>
      <c r="D227" s="21" t="n"/>
      <c r="E227" s="21" t="n"/>
    </row>
    <row r="228">
      <c r="A228" s="24" t="n"/>
      <c r="B228" s="21" t="n"/>
      <c r="C228" s="21" t="n"/>
      <c r="D228" s="21" t="n"/>
      <c r="E228" s="21" t="n"/>
    </row>
    <row r="229">
      <c r="A229" s="24" t="n"/>
      <c r="B229" s="21" t="n"/>
      <c r="C229" s="21" t="n"/>
      <c r="D229" s="21" t="n"/>
      <c r="E229" s="21" t="n"/>
    </row>
    <row r="230">
      <c r="A230" s="24" t="n"/>
      <c r="B230" s="21" t="n"/>
      <c r="C230" s="21" t="n"/>
      <c r="D230" s="21" t="n"/>
      <c r="E230" s="21" t="n"/>
    </row>
    <row r="231">
      <c r="A231" s="24" t="n"/>
      <c r="B231" s="21" t="n"/>
      <c r="C231" s="21" t="n"/>
      <c r="D231" s="21" t="n"/>
      <c r="E231" s="21" t="n"/>
    </row>
    <row r="232">
      <c r="A232" s="24" t="n"/>
      <c r="B232" s="21" t="n"/>
      <c r="C232" s="21" t="n"/>
      <c r="D232" s="21" t="n"/>
      <c r="E232" s="21" t="n"/>
    </row>
    <row r="233">
      <c r="A233" s="24" t="n"/>
      <c r="B233" s="21" t="n"/>
      <c r="C233" s="21" t="n"/>
      <c r="D233" s="21" t="n"/>
      <c r="E233" s="21" t="n"/>
    </row>
    <row r="234">
      <c r="A234" s="24" t="n"/>
      <c r="B234" s="21" t="n"/>
      <c r="C234" s="21" t="n"/>
      <c r="D234" s="21" t="n"/>
      <c r="E234" s="21" t="n"/>
    </row>
    <row r="235">
      <c r="A235" s="24" t="n"/>
      <c r="B235" s="21" t="n"/>
      <c r="C235" s="21" t="n"/>
      <c r="D235" s="21" t="n"/>
      <c r="E235" s="21" t="n"/>
    </row>
    <row r="236">
      <c r="A236" s="24" t="n"/>
      <c r="B236" s="21" t="n"/>
      <c r="C236" s="21" t="n"/>
      <c r="D236" s="21" t="n"/>
      <c r="E236" s="21" t="n"/>
    </row>
    <row r="237">
      <c r="A237" s="24" t="n"/>
      <c r="B237" s="21" t="n"/>
      <c r="C237" s="21" t="n"/>
      <c r="D237" s="21" t="n"/>
      <c r="E237" s="21" t="n"/>
    </row>
    <row r="238">
      <c r="A238" s="24" t="n"/>
      <c r="B238" s="21" t="n"/>
      <c r="C238" s="21" t="n"/>
      <c r="D238" s="21" t="n"/>
      <c r="E238" s="21" t="n"/>
    </row>
    <row r="239">
      <c r="A239" s="24" t="n"/>
      <c r="B239" s="21" t="n"/>
      <c r="C239" s="21" t="n"/>
      <c r="D239" s="21" t="n"/>
      <c r="E239" s="21" t="n"/>
    </row>
    <row r="240">
      <c r="A240" s="24" t="n"/>
      <c r="B240" s="21" t="n"/>
      <c r="C240" s="21" t="n"/>
      <c r="D240" s="21" t="n"/>
      <c r="E240" s="21" t="n"/>
    </row>
    <row r="241">
      <c r="A241" s="24" t="n"/>
      <c r="B241" s="21" t="n"/>
      <c r="C241" s="21" t="n"/>
      <c r="D241" s="21" t="n"/>
      <c r="E241" s="21" t="n"/>
    </row>
    <row r="242">
      <c r="A242" s="24" t="n"/>
      <c r="B242" s="21" t="n"/>
      <c r="C242" s="21" t="n"/>
      <c r="D242" s="21" t="n"/>
      <c r="E242" s="21" t="n"/>
    </row>
    <row r="243">
      <c r="A243" s="24" t="n"/>
      <c r="B243" s="21" t="n"/>
      <c r="C243" s="21" t="n"/>
      <c r="D243" s="21" t="n"/>
      <c r="E243" s="21" t="n"/>
    </row>
    <row r="244">
      <c r="A244" s="24" t="n"/>
      <c r="B244" s="21" t="n"/>
      <c r="C244" s="21" t="n"/>
      <c r="D244" s="21" t="n"/>
      <c r="E244" s="21" t="n"/>
    </row>
    <row r="245">
      <c r="A245" s="24" t="n"/>
      <c r="B245" s="21" t="n"/>
      <c r="C245" s="21" t="n"/>
      <c r="D245" s="21" t="n"/>
      <c r="E245" s="21" t="n"/>
    </row>
    <row r="246">
      <c r="A246" s="24" t="n"/>
      <c r="B246" s="21" t="n"/>
      <c r="C246" s="21" t="n"/>
      <c r="D246" s="21" t="n"/>
      <c r="E246" s="21" t="n"/>
    </row>
    <row r="247">
      <c r="A247" s="24" t="n"/>
      <c r="B247" s="21" t="n"/>
      <c r="C247" s="21" t="n"/>
      <c r="D247" s="21" t="n"/>
      <c r="E247" s="21" t="n"/>
    </row>
    <row r="248">
      <c r="A248" s="24" t="n"/>
      <c r="B248" s="21" t="n"/>
      <c r="C248" s="21" t="n"/>
      <c r="D248" s="21" t="n"/>
      <c r="E248" s="21" t="n"/>
    </row>
    <row r="249">
      <c r="A249" s="24" t="n"/>
      <c r="B249" s="21" t="n"/>
      <c r="C249" s="21" t="n"/>
      <c r="D249" s="21" t="n"/>
      <c r="E249" s="21" t="n"/>
    </row>
    <row r="250">
      <c r="A250" s="24" t="n"/>
      <c r="B250" s="21" t="n"/>
      <c r="C250" s="21" t="n"/>
      <c r="D250" s="21" t="n"/>
      <c r="E250" s="21" t="n"/>
    </row>
    <row r="251">
      <c r="A251" s="24" t="n"/>
      <c r="B251" s="21" t="n"/>
      <c r="C251" s="21" t="n"/>
      <c r="D251" s="21" t="n"/>
      <c r="E251" s="21" t="n"/>
    </row>
    <row r="252">
      <c r="A252" s="24" t="n"/>
      <c r="B252" s="21" t="n"/>
      <c r="C252" s="21" t="n"/>
      <c r="D252" s="21" t="n"/>
      <c r="E252" s="21" t="n"/>
    </row>
    <row r="253">
      <c r="A253" s="24" t="n"/>
      <c r="B253" s="21" t="n"/>
      <c r="C253" s="21" t="n"/>
      <c r="D253" s="21" t="n"/>
      <c r="E253" s="21" t="n"/>
    </row>
    <row r="254">
      <c r="A254" s="24" t="n"/>
      <c r="B254" s="21" t="n"/>
      <c r="C254" s="21" t="n"/>
      <c r="D254" s="21" t="n"/>
      <c r="E254" s="21" t="n"/>
    </row>
    <row r="255">
      <c r="A255" s="24" t="n"/>
      <c r="B255" s="21" t="n"/>
      <c r="C255" s="21" t="n"/>
      <c r="D255" s="21" t="n"/>
      <c r="E255" s="21" t="n"/>
    </row>
    <row r="256">
      <c r="A256" s="24" t="n"/>
      <c r="B256" s="21" t="n"/>
      <c r="C256" s="21" t="n"/>
      <c r="D256" s="21" t="n"/>
      <c r="E256" s="21" t="n"/>
    </row>
    <row r="257">
      <c r="A257" s="24" t="n"/>
      <c r="B257" s="21" t="n"/>
      <c r="C257" s="21" t="n"/>
      <c r="D257" s="21" t="n"/>
      <c r="E257" s="21" t="n"/>
    </row>
    <row r="258">
      <c r="A258" s="24" t="n"/>
      <c r="B258" s="21" t="n"/>
      <c r="C258" s="21" t="n"/>
      <c r="D258" s="21" t="n"/>
      <c r="E258" s="21" t="n"/>
    </row>
    <row r="259">
      <c r="A259" s="24" t="n"/>
      <c r="B259" s="21" t="n"/>
      <c r="C259" s="21" t="n"/>
      <c r="D259" s="21" t="n"/>
      <c r="E259" s="21" t="n"/>
    </row>
    <row r="260">
      <c r="A260" s="24" t="n"/>
      <c r="B260" s="21" t="n"/>
      <c r="C260" s="21" t="n"/>
      <c r="D260" s="21" t="n"/>
      <c r="E260" s="21" t="n"/>
    </row>
    <row r="261">
      <c r="A261" s="24" t="n"/>
      <c r="B261" s="21" t="n"/>
      <c r="C261" s="21" t="n"/>
      <c r="D261" s="21" t="n"/>
      <c r="E261" s="21" t="n"/>
    </row>
    <row r="262">
      <c r="A262" s="24" t="n"/>
      <c r="B262" s="21" t="n"/>
      <c r="C262" s="21" t="n"/>
      <c r="D262" s="21" t="n"/>
      <c r="E262" s="21" t="n"/>
    </row>
    <row r="263">
      <c r="A263" s="24" t="n"/>
      <c r="B263" s="21" t="n"/>
      <c r="C263" s="21" t="n"/>
      <c r="D263" s="21" t="n"/>
      <c r="E263" s="21" t="n"/>
    </row>
    <row r="264">
      <c r="A264" s="24" t="n"/>
      <c r="B264" s="21" t="n"/>
      <c r="C264" s="21" t="n"/>
      <c r="D264" s="21" t="n"/>
      <c r="E264" s="21" t="n"/>
    </row>
    <row r="265">
      <c r="A265" s="24" t="n"/>
      <c r="B265" s="21" t="n"/>
      <c r="C265" s="21" t="n"/>
      <c r="D265" s="21" t="n"/>
      <c r="E265" s="21" t="n"/>
    </row>
    <row r="266">
      <c r="A266" s="24" t="n"/>
      <c r="B266" s="21" t="n"/>
      <c r="C266" s="21" t="n"/>
      <c r="D266" s="21" t="n"/>
      <c r="E266" s="21" t="n"/>
    </row>
    <row r="267">
      <c r="A267" s="24" t="n"/>
      <c r="B267" s="21" t="n"/>
      <c r="C267" s="21" t="n"/>
      <c r="D267" s="21" t="n"/>
      <c r="E267" s="21" t="n"/>
    </row>
    <row r="268">
      <c r="A268" s="24" t="n"/>
      <c r="B268" s="21" t="n"/>
      <c r="C268" s="21" t="n"/>
      <c r="D268" s="21" t="n"/>
      <c r="E268" s="21" t="n"/>
    </row>
    <row r="269">
      <c r="A269" s="24" t="n"/>
      <c r="B269" s="21" t="n"/>
      <c r="C269" s="21" t="n"/>
      <c r="D269" s="21" t="n"/>
      <c r="E269" s="21" t="n"/>
    </row>
    <row r="270">
      <c r="A270" s="24" t="n"/>
      <c r="B270" s="21" t="n"/>
      <c r="C270" s="21" t="n"/>
      <c r="D270" s="21" t="n"/>
      <c r="E270" s="21" t="n"/>
    </row>
    <row r="271">
      <c r="A271" s="24" t="n"/>
      <c r="B271" s="21" t="n"/>
      <c r="C271" s="21" t="n"/>
      <c r="D271" s="21" t="n"/>
      <c r="E271" s="21" t="n"/>
    </row>
    <row r="272">
      <c r="A272" s="24" t="n"/>
      <c r="B272" s="21" t="n"/>
      <c r="C272" s="21" t="n"/>
      <c r="D272" s="21" t="n"/>
      <c r="E272" s="21" t="n"/>
    </row>
    <row r="273">
      <c r="A273" s="24" t="n"/>
      <c r="B273" s="21" t="n"/>
      <c r="C273" s="21" t="n"/>
      <c r="D273" s="21" t="n"/>
      <c r="E273" s="21" t="n"/>
    </row>
    <row r="274">
      <c r="A274" s="24" t="n"/>
      <c r="B274" s="21" t="n"/>
      <c r="C274" s="21" t="n"/>
      <c r="D274" s="21" t="n"/>
      <c r="E274" s="21" t="n"/>
    </row>
    <row r="275">
      <c r="A275" s="24" t="n"/>
      <c r="B275" s="21" t="n"/>
      <c r="C275" s="21" t="n"/>
      <c r="D275" s="21" t="n"/>
      <c r="E275" s="21" t="n"/>
    </row>
    <row r="276">
      <c r="A276" s="24" t="n"/>
      <c r="B276" s="21" t="n"/>
      <c r="C276" s="21" t="n"/>
      <c r="D276" s="21" t="n"/>
      <c r="E276" s="21" t="n"/>
    </row>
    <row r="277">
      <c r="A277" s="24" t="n"/>
      <c r="B277" s="21" t="n"/>
      <c r="C277" s="21" t="n"/>
      <c r="D277" s="21" t="n"/>
      <c r="E277" s="21" t="n"/>
    </row>
    <row r="278">
      <c r="A278" s="24" t="n"/>
      <c r="B278" s="21" t="n"/>
      <c r="C278" s="21" t="n"/>
      <c r="D278" s="21" t="n"/>
      <c r="E278" s="21" t="n"/>
    </row>
    <row r="279">
      <c r="A279" s="24" t="n"/>
      <c r="B279" s="21" t="n"/>
      <c r="C279" s="21" t="n"/>
      <c r="D279" s="21" t="n"/>
      <c r="E279" s="21" t="n"/>
    </row>
    <row r="280">
      <c r="A280" s="24" t="n"/>
      <c r="B280" s="21" t="n"/>
      <c r="C280" s="21" t="n"/>
      <c r="D280" s="21" t="n"/>
      <c r="E280" s="21" t="n"/>
    </row>
    <row r="281">
      <c r="A281" s="24" t="n"/>
      <c r="B281" s="21" t="n"/>
      <c r="C281" s="21" t="n"/>
      <c r="D281" s="21" t="n"/>
      <c r="E281" s="21" t="n"/>
    </row>
    <row r="282">
      <c r="A282" s="24" t="n"/>
      <c r="B282" s="21" t="n"/>
      <c r="C282" s="21" t="n"/>
      <c r="D282" s="21" t="n"/>
      <c r="E282" s="21" t="n"/>
    </row>
    <row r="283">
      <c r="A283" s="24" t="n"/>
      <c r="B283" s="21" t="n"/>
      <c r="C283" s="21" t="n"/>
      <c r="D283" s="21" t="n"/>
      <c r="E283" s="21" t="n"/>
    </row>
    <row r="284">
      <c r="A284" s="24" t="n"/>
      <c r="B284" s="21" t="n"/>
      <c r="C284" s="21" t="n"/>
      <c r="D284" s="21" t="n"/>
      <c r="E284" s="21" t="n"/>
    </row>
    <row r="285">
      <c r="A285" s="24" t="n"/>
      <c r="B285" s="21" t="n"/>
      <c r="C285" s="21" t="n"/>
      <c r="D285" s="21" t="n"/>
      <c r="E285" s="21" t="n"/>
    </row>
    <row r="286">
      <c r="A286" s="24" t="n"/>
      <c r="B286" s="21" t="n"/>
      <c r="C286" s="21" t="n"/>
      <c r="D286" s="21" t="n"/>
      <c r="E286" s="21" t="n"/>
    </row>
    <row r="287">
      <c r="A287" s="24" t="n"/>
      <c r="B287" s="21" t="n"/>
      <c r="C287" s="21" t="n"/>
      <c r="D287" s="21" t="n"/>
      <c r="E287" s="21" t="n"/>
    </row>
    <row r="288">
      <c r="A288" s="24" t="n"/>
      <c r="B288" s="21" t="n"/>
      <c r="C288" s="21" t="n"/>
      <c r="D288" s="21" t="n"/>
      <c r="E288" s="21" t="n"/>
    </row>
    <row r="289">
      <c r="A289" s="24" t="n"/>
      <c r="B289" s="21" t="n"/>
      <c r="C289" s="21" t="n"/>
      <c r="D289" s="21" t="n"/>
      <c r="E289" s="21" t="n"/>
    </row>
    <row r="290">
      <c r="A290" s="24" t="n"/>
      <c r="B290" s="21" t="n"/>
      <c r="C290" s="21" t="n"/>
      <c r="D290" s="21" t="n"/>
      <c r="E290" s="21" t="n"/>
    </row>
    <row r="291">
      <c r="A291" s="24" t="n"/>
      <c r="B291" s="21" t="n"/>
      <c r="C291" s="21" t="n"/>
      <c r="D291" s="21" t="n"/>
      <c r="E291" s="21" t="n"/>
    </row>
    <row r="292">
      <c r="A292" s="24" t="n"/>
      <c r="B292" s="21" t="n"/>
      <c r="C292" s="21" t="n"/>
      <c r="D292" s="21" t="n"/>
      <c r="E292" s="21" t="n"/>
    </row>
    <row r="293">
      <c r="A293" s="24" t="n"/>
      <c r="B293" s="21" t="n"/>
      <c r="C293" s="21" t="n"/>
      <c r="D293" s="21" t="n"/>
      <c r="E293" s="21" t="n"/>
    </row>
    <row r="294">
      <c r="A294" s="24" t="n"/>
      <c r="B294" s="21" t="n"/>
      <c r="C294" s="21" t="n"/>
      <c r="D294" s="21" t="n"/>
      <c r="E294" s="21" t="n"/>
    </row>
    <row r="295">
      <c r="A295" s="24" t="n"/>
      <c r="B295" s="21" t="n"/>
      <c r="C295" s="21" t="n"/>
      <c r="D295" s="21" t="n"/>
      <c r="E295" s="21" t="n"/>
    </row>
    <row r="296">
      <c r="A296" s="24" t="n"/>
      <c r="B296" s="21" t="n"/>
      <c r="C296" s="21" t="n"/>
      <c r="D296" s="21" t="n"/>
      <c r="E296" s="21" t="n"/>
    </row>
    <row r="297">
      <c r="A297" s="24" t="n"/>
      <c r="B297" s="21" t="n"/>
      <c r="C297" s="21" t="n"/>
      <c r="D297" s="21" t="n"/>
      <c r="E297" s="21" t="n"/>
    </row>
    <row r="298">
      <c r="A298" s="24" t="n"/>
      <c r="B298" s="21" t="n"/>
      <c r="C298" s="21" t="n"/>
      <c r="D298" s="21" t="n"/>
      <c r="E298" s="21" t="n"/>
    </row>
    <row r="299">
      <c r="A299" s="24" t="n"/>
      <c r="B299" s="21" t="n"/>
      <c r="C299" s="21" t="n"/>
      <c r="D299" s="21" t="n"/>
      <c r="E299" s="21" t="n"/>
    </row>
    <row r="300">
      <c r="A300" s="24" t="n"/>
      <c r="B300" s="21" t="n"/>
      <c r="C300" s="21" t="n"/>
      <c r="D300" s="21" t="n"/>
      <c r="E300" s="21" t="n"/>
    </row>
    <row r="301">
      <c r="A301" s="24" t="n"/>
      <c r="B301" s="21" t="n"/>
      <c r="C301" s="21" t="n"/>
      <c r="D301" s="21" t="n"/>
      <c r="E301" s="21" t="n"/>
    </row>
    <row r="302">
      <c r="A302" s="24" t="n"/>
      <c r="B302" s="21" t="n"/>
      <c r="C302" s="21" t="n"/>
      <c r="D302" s="21" t="n"/>
      <c r="E302" s="21" t="n"/>
    </row>
    <row r="303">
      <c r="A303" s="24" t="n"/>
      <c r="B303" s="21" t="n"/>
      <c r="C303" s="21" t="n"/>
      <c r="D303" s="21" t="n"/>
      <c r="E303" s="21" t="n"/>
    </row>
    <row r="304">
      <c r="A304" s="24" t="n"/>
      <c r="B304" s="21" t="n"/>
      <c r="C304" s="21" t="n"/>
      <c r="D304" s="21" t="n"/>
      <c r="E304" s="21" t="n"/>
    </row>
    <row r="305">
      <c r="A305" s="24" t="n"/>
      <c r="B305" s="21" t="n"/>
      <c r="C305" s="21" t="n"/>
      <c r="D305" s="21" t="n"/>
      <c r="E305" s="21" t="n"/>
    </row>
    <row r="306">
      <c r="A306" s="24" t="n"/>
      <c r="B306" s="21" t="n"/>
      <c r="C306" s="21" t="n"/>
      <c r="D306" s="21" t="n"/>
      <c r="E306" s="21" t="n"/>
    </row>
    <row r="307">
      <c r="A307" s="24" t="n"/>
      <c r="B307" s="21" t="n"/>
      <c r="C307" s="21" t="n"/>
      <c r="D307" s="21" t="n"/>
      <c r="E307" s="21" t="n"/>
    </row>
    <row r="308">
      <c r="A308" s="24" t="n"/>
      <c r="B308" s="21" t="n"/>
      <c r="C308" s="21" t="n"/>
      <c r="D308" s="21" t="n"/>
      <c r="E308" s="21" t="n"/>
    </row>
    <row r="309">
      <c r="A309" s="24" t="n"/>
      <c r="B309" s="21" t="n"/>
      <c r="C309" s="21" t="n"/>
      <c r="D309" s="21" t="n"/>
      <c r="E309" s="21" t="n"/>
    </row>
    <row r="310">
      <c r="A310" s="24" t="n"/>
      <c r="B310" s="21" t="n"/>
      <c r="C310" s="21" t="n"/>
      <c r="D310" s="21" t="n"/>
      <c r="E310" s="21" t="n"/>
    </row>
    <row r="311">
      <c r="A311" s="24" t="n"/>
      <c r="B311" s="21" t="n"/>
      <c r="C311" s="21" t="n"/>
      <c r="D311" s="21" t="n"/>
      <c r="E311" s="21" t="n"/>
    </row>
    <row r="312">
      <c r="A312" s="24" t="n"/>
      <c r="B312" s="21" t="n"/>
      <c r="C312" s="21" t="n"/>
      <c r="D312" s="21" t="n"/>
      <c r="E312" s="21" t="n"/>
    </row>
    <row r="313">
      <c r="A313" s="24" t="n"/>
      <c r="B313" s="21" t="n"/>
      <c r="C313" s="21" t="n"/>
      <c r="D313" s="21" t="n"/>
      <c r="E313" s="21" t="n"/>
    </row>
    <row r="314">
      <c r="A314" s="24" t="n"/>
      <c r="B314" s="21" t="n"/>
      <c r="C314" s="21" t="n"/>
      <c r="D314" s="21" t="n"/>
      <c r="E314" s="21" t="n"/>
    </row>
    <row r="315">
      <c r="A315" s="24" t="n"/>
      <c r="B315" s="21" t="n"/>
      <c r="C315" s="21" t="n"/>
      <c r="D315" s="21" t="n"/>
      <c r="E315" s="21" t="n"/>
    </row>
    <row r="316">
      <c r="A316" s="24" t="n"/>
      <c r="B316" s="21" t="n"/>
      <c r="C316" s="21" t="n"/>
      <c r="D316" s="21" t="n"/>
      <c r="E316" s="21" t="n"/>
    </row>
    <row r="317">
      <c r="A317" s="24" t="n"/>
      <c r="B317" s="21" t="n"/>
      <c r="C317" s="21" t="n"/>
      <c r="D317" s="21" t="n"/>
      <c r="E317" s="21" t="n"/>
    </row>
    <row r="318">
      <c r="A318" s="24" t="n"/>
      <c r="B318" s="21" t="n"/>
      <c r="C318" s="21" t="n"/>
      <c r="D318" s="21" t="n"/>
      <c r="E318" s="21" t="n"/>
    </row>
    <row r="319">
      <c r="A319" s="24" t="n"/>
      <c r="B319" s="21" t="n"/>
      <c r="C319" s="21" t="n"/>
      <c r="D319" s="21" t="n"/>
      <c r="E319" s="21" t="n"/>
    </row>
    <row r="320">
      <c r="A320" s="24" t="n"/>
      <c r="B320" s="21" t="n"/>
      <c r="C320" s="21" t="n"/>
      <c r="D320" s="21" t="n"/>
      <c r="E320" s="21" t="n"/>
    </row>
    <row r="321">
      <c r="A321" s="24" t="n"/>
      <c r="B321" s="21" t="n"/>
      <c r="C321" s="21" t="n"/>
      <c r="D321" s="21" t="n"/>
      <c r="E321" s="21" t="n"/>
    </row>
    <row r="322">
      <c r="A322" s="24" t="n"/>
      <c r="B322" s="21" t="n"/>
      <c r="C322" s="21" t="n"/>
      <c r="D322" s="21" t="n"/>
      <c r="E322" s="21" t="n"/>
    </row>
    <row r="323">
      <c r="A323" s="24" t="n"/>
      <c r="B323" s="21" t="n"/>
      <c r="C323" s="21" t="n"/>
      <c r="D323" s="21" t="n"/>
      <c r="E323" s="21" t="n"/>
    </row>
    <row r="324">
      <c r="A324" s="24" t="n"/>
      <c r="B324" s="21" t="n"/>
      <c r="C324" s="21" t="n"/>
      <c r="D324" s="21" t="n"/>
      <c r="E324" s="21" t="n"/>
    </row>
    <row r="325">
      <c r="A325" s="24" t="n"/>
      <c r="B325" s="21" t="n"/>
      <c r="C325" s="21" t="n"/>
      <c r="D325" s="21" t="n"/>
      <c r="E325" s="21" t="n"/>
    </row>
    <row r="326">
      <c r="A326" s="24" t="n"/>
      <c r="B326" s="21" t="n"/>
      <c r="C326" s="21" t="n"/>
      <c r="D326" s="21" t="n"/>
      <c r="E326" s="21" t="n"/>
    </row>
    <row r="327">
      <c r="A327" s="24" t="n"/>
      <c r="B327" s="21" t="n"/>
      <c r="C327" s="21" t="n"/>
      <c r="D327" s="21" t="n"/>
      <c r="E327" s="21" t="n"/>
    </row>
    <row r="328">
      <c r="A328" s="24" t="n"/>
      <c r="B328" s="21" t="n"/>
      <c r="C328" s="21" t="n"/>
      <c r="D328" s="21" t="n"/>
      <c r="E328" s="21" t="n"/>
    </row>
    <row r="329">
      <c r="A329" s="24" t="n"/>
      <c r="B329" s="21" t="n"/>
      <c r="C329" s="21" t="n"/>
      <c r="D329" s="21" t="n"/>
      <c r="E329" s="21" t="n"/>
    </row>
    <row r="330">
      <c r="A330" s="24" t="n"/>
      <c r="B330" s="21" t="n"/>
      <c r="C330" s="21" t="n"/>
      <c r="D330" s="21" t="n"/>
      <c r="E330" s="21" t="n"/>
    </row>
    <row r="331">
      <c r="A331" s="24" t="n"/>
      <c r="B331" s="21" t="n"/>
      <c r="C331" s="21" t="n"/>
      <c r="D331" s="21" t="n"/>
      <c r="E331" s="21" t="n"/>
    </row>
    <row r="332">
      <c r="A332" s="24" t="n"/>
      <c r="B332" s="21" t="n"/>
      <c r="C332" s="21" t="n"/>
      <c r="D332" s="21" t="n"/>
      <c r="E332" s="21" t="n"/>
    </row>
    <row r="333">
      <c r="A333" s="24" t="n"/>
      <c r="B333" s="21" t="n"/>
      <c r="C333" s="21" t="n"/>
      <c r="D333" s="21" t="n"/>
      <c r="E333" s="21" t="n"/>
    </row>
    <row r="334">
      <c r="A334" s="24" t="n"/>
      <c r="B334" s="21" t="n"/>
      <c r="C334" s="21" t="n"/>
      <c r="D334" s="21" t="n"/>
      <c r="E334" s="21" t="n"/>
    </row>
    <row r="335">
      <c r="A335" s="24" t="n"/>
      <c r="B335" s="21" t="n"/>
      <c r="C335" s="21" t="n"/>
      <c r="D335" s="21" t="n"/>
      <c r="E335" s="21" t="n"/>
    </row>
    <row r="336">
      <c r="A336" s="24" t="n"/>
      <c r="B336" s="21" t="n"/>
      <c r="C336" s="21" t="n"/>
      <c r="D336" s="21" t="n"/>
      <c r="E336" s="21" t="n"/>
    </row>
    <row r="337">
      <c r="A337" s="24" t="n"/>
      <c r="B337" s="21" t="n"/>
      <c r="C337" s="21" t="n"/>
      <c r="D337" s="21" t="n"/>
      <c r="E337" s="21" t="n"/>
    </row>
    <row r="338">
      <c r="A338" s="24" t="n"/>
      <c r="B338" s="21" t="n"/>
      <c r="C338" s="21" t="n"/>
      <c r="D338" s="21" t="n"/>
      <c r="E338" s="21" t="n"/>
    </row>
    <row r="339">
      <c r="A339" s="24" t="n"/>
      <c r="B339" s="21" t="n"/>
      <c r="C339" s="21" t="n"/>
      <c r="D339" s="21" t="n"/>
      <c r="E339" s="21" t="n"/>
    </row>
    <row r="340">
      <c r="A340" s="24" t="n"/>
      <c r="B340" s="21" t="n"/>
      <c r="C340" s="21" t="n"/>
      <c r="D340" s="21" t="n"/>
      <c r="E340" s="21" t="n"/>
    </row>
    <row r="341">
      <c r="A341" s="24" t="n"/>
      <c r="B341" s="21" t="n"/>
      <c r="C341" s="21" t="n"/>
      <c r="D341" s="21" t="n"/>
      <c r="E341" s="21" t="n"/>
    </row>
    <row r="342">
      <c r="A342" s="24" t="n"/>
      <c r="B342" s="21" t="n"/>
      <c r="C342" s="21" t="n"/>
      <c r="D342" s="21" t="n"/>
      <c r="E342" s="21" t="n"/>
    </row>
    <row r="343">
      <c r="A343" s="24" t="n"/>
      <c r="B343" s="21" t="n"/>
      <c r="C343" s="21" t="n"/>
      <c r="D343" s="21" t="n"/>
      <c r="E343" s="21" t="n"/>
    </row>
    <row r="344">
      <c r="A344" s="24" t="n"/>
      <c r="B344" s="21" t="n"/>
      <c r="C344" s="21" t="n"/>
      <c r="D344" s="21" t="n"/>
      <c r="E344" s="21" t="n"/>
    </row>
    <row r="345">
      <c r="A345" s="24" t="n"/>
      <c r="B345" s="21" t="n"/>
      <c r="C345" s="21" t="n"/>
      <c r="D345" s="21" t="n"/>
      <c r="E345" s="21" t="n"/>
    </row>
    <row r="346">
      <c r="A346" s="24" t="n"/>
      <c r="B346" s="21" t="n"/>
      <c r="C346" s="21" t="n"/>
      <c r="D346" s="21" t="n"/>
      <c r="E346" s="21" t="n"/>
    </row>
    <row r="347">
      <c r="A347" s="24" t="n"/>
      <c r="B347" s="21" t="n"/>
      <c r="C347" s="21" t="n"/>
      <c r="D347" s="21" t="n"/>
      <c r="E347" s="21" t="n"/>
    </row>
    <row r="348">
      <c r="A348" s="24" t="n"/>
      <c r="B348" s="21" t="n"/>
      <c r="C348" s="21" t="n"/>
      <c r="D348" s="21" t="n"/>
      <c r="E348" s="21" t="n"/>
    </row>
    <row r="349">
      <c r="A349" s="24" t="n"/>
      <c r="B349" s="21" t="n"/>
      <c r="C349" s="21" t="n"/>
      <c r="D349" s="21" t="n"/>
      <c r="E349" s="21" t="n"/>
    </row>
    <row r="350">
      <c r="A350" s="24" t="n"/>
      <c r="B350" s="21" t="n"/>
      <c r="C350" s="21" t="n"/>
      <c r="D350" s="21" t="n"/>
      <c r="E350" s="21" t="n"/>
    </row>
    <row r="351">
      <c r="A351" s="24" t="n"/>
      <c r="B351" s="21" t="n"/>
      <c r="C351" s="21" t="n"/>
      <c r="D351" s="21" t="n"/>
      <c r="E351" s="21" t="n"/>
    </row>
    <row r="352">
      <c r="A352" s="24" t="n"/>
      <c r="B352" s="21" t="n"/>
      <c r="C352" s="21" t="n"/>
      <c r="D352" s="21" t="n"/>
      <c r="E352" s="21" t="n"/>
    </row>
    <row r="353">
      <c r="A353" s="24" t="n"/>
      <c r="B353" s="21" t="n"/>
      <c r="C353" s="21" t="n"/>
      <c r="D353" s="21" t="n"/>
      <c r="E353" s="21" t="n"/>
    </row>
    <row r="354">
      <c r="A354" s="24" t="n"/>
      <c r="B354" s="21" t="n"/>
      <c r="C354" s="21" t="n"/>
      <c r="D354" s="21" t="n"/>
      <c r="E354" s="21" t="n"/>
    </row>
    <row r="355">
      <c r="A355" s="24" t="n"/>
      <c r="B355" s="21" t="n"/>
      <c r="C355" s="21" t="n"/>
      <c r="D355" s="21" t="n"/>
      <c r="E355" s="21" t="n"/>
    </row>
    <row r="356">
      <c r="A356" s="24" t="n"/>
      <c r="B356" s="21" t="n"/>
      <c r="C356" s="21" t="n"/>
      <c r="D356" s="21" t="n"/>
      <c r="E356" s="21" t="n"/>
    </row>
    <row r="357">
      <c r="A357" s="24" t="n"/>
      <c r="B357" s="21" t="n"/>
      <c r="C357" s="21" t="n"/>
      <c r="D357" s="21" t="n"/>
      <c r="E357" s="21" t="n"/>
    </row>
    <row r="358">
      <c r="A358" s="24" t="n"/>
      <c r="B358" s="21" t="n"/>
      <c r="C358" s="21" t="n"/>
      <c r="D358" s="21" t="n"/>
      <c r="E358" s="21" t="n"/>
    </row>
    <row r="359">
      <c r="A359" s="24" t="n"/>
      <c r="B359" s="21" t="n"/>
      <c r="C359" s="21" t="n"/>
      <c r="D359" s="21" t="n"/>
      <c r="E359" s="21" t="n"/>
    </row>
    <row r="360">
      <c r="A360" s="24" t="n"/>
      <c r="B360" s="21" t="n"/>
      <c r="C360" s="21" t="n"/>
      <c r="D360" s="21" t="n"/>
      <c r="E360" s="21" t="n"/>
    </row>
    <row r="361">
      <c r="A361" s="24" t="n"/>
      <c r="B361" s="21" t="n"/>
      <c r="C361" s="21" t="n"/>
      <c r="D361" s="21" t="n"/>
      <c r="E361" s="21" t="n"/>
    </row>
    <row r="362">
      <c r="A362" s="24" t="n"/>
      <c r="B362" s="21" t="n"/>
      <c r="C362" s="21" t="n"/>
      <c r="D362" s="21" t="n"/>
      <c r="E362" s="21" t="n"/>
    </row>
    <row r="363">
      <c r="A363" s="24" t="n"/>
      <c r="B363" s="21" t="n"/>
      <c r="C363" s="21" t="n"/>
      <c r="D363" s="21" t="n"/>
      <c r="E363" s="21" t="n"/>
    </row>
    <row r="364">
      <c r="A364" s="24" t="n"/>
      <c r="B364" s="21" t="n"/>
      <c r="C364" s="21" t="n"/>
      <c r="D364" s="21" t="n"/>
      <c r="E364" s="21" t="n"/>
    </row>
    <row r="365">
      <c r="A365" s="24" t="n"/>
      <c r="B365" s="21" t="n"/>
      <c r="C365" s="21" t="n"/>
      <c r="D365" s="21" t="n"/>
      <c r="E365" s="21" t="n"/>
    </row>
    <row r="366">
      <c r="A366" s="24" t="n"/>
      <c r="B366" s="21" t="n"/>
      <c r="C366" s="21" t="n"/>
      <c r="D366" s="21" t="n"/>
      <c r="E366" s="21" t="n"/>
    </row>
    <row r="367">
      <c r="A367" s="24" t="n"/>
      <c r="B367" s="21" t="n"/>
      <c r="C367" s="21" t="n"/>
      <c r="D367" s="21" t="n"/>
      <c r="E367" s="21" t="n"/>
    </row>
    <row r="368">
      <c r="A368" s="24" t="n"/>
      <c r="B368" s="21" t="n"/>
      <c r="C368" s="21" t="n"/>
      <c r="D368" s="21" t="n"/>
      <c r="E368" s="21" t="n"/>
    </row>
    <row r="369">
      <c r="A369" s="24" t="n"/>
      <c r="B369" s="21" t="n"/>
      <c r="C369" s="21" t="n"/>
      <c r="D369" s="21" t="n"/>
      <c r="E369" s="21" t="n"/>
    </row>
    <row r="370">
      <c r="A370" s="24" t="n"/>
      <c r="B370" s="21" t="n"/>
      <c r="C370" s="21" t="n"/>
      <c r="D370" s="21" t="n"/>
      <c r="E370" s="21" t="n"/>
    </row>
    <row r="371">
      <c r="A371" s="24" t="n"/>
      <c r="B371" s="21" t="n"/>
      <c r="C371" s="21" t="n"/>
      <c r="D371" s="21" t="n"/>
      <c r="E371" s="21" t="n"/>
    </row>
    <row r="372">
      <c r="A372" s="24" t="n"/>
      <c r="B372" s="21" t="n"/>
      <c r="C372" s="21" t="n"/>
      <c r="D372" s="21" t="n"/>
      <c r="E372" s="21" t="n"/>
    </row>
    <row r="373">
      <c r="A373" s="24" t="n"/>
      <c r="B373" s="21" t="n"/>
      <c r="C373" s="21" t="n"/>
      <c r="D373" s="21" t="n"/>
      <c r="E373" s="21" t="n"/>
    </row>
    <row r="374">
      <c r="A374" s="24" t="n"/>
      <c r="B374" s="21" t="n"/>
      <c r="C374" s="21" t="n"/>
      <c r="D374" s="21" t="n"/>
      <c r="E374" s="21" t="n"/>
    </row>
    <row r="375">
      <c r="A375" s="24" t="n"/>
      <c r="B375" s="21" t="n"/>
      <c r="C375" s="21" t="n"/>
      <c r="D375" s="21" t="n"/>
      <c r="E375" s="21" t="n"/>
    </row>
    <row r="376">
      <c r="A376" s="24" t="n"/>
      <c r="B376" s="21" t="n"/>
      <c r="C376" s="21" t="n"/>
      <c r="D376" s="21" t="n"/>
      <c r="E376" s="21" t="n"/>
    </row>
    <row r="377">
      <c r="A377" s="24" t="n"/>
      <c r="B377" s="21" t="n"/>
      <c r="C377" s="21" t="n"/>
      <c r="D377" s="21" t="n"/>
      <c r="E377" s="21" t="n"/>
    </row>
    <row r="378">
      <c r="A378" s="24" t="n"/>
      <c r="B378" s="21" t="n"/>
      <c r="C378" s="21" t="n"/>
      <c r="D378" s="21" t="n"/>
      <c r="E378" s="21" t="n"/>
    </row>
    <row r="379">
      <c r="A379" s="24" t="n"/>
      <c r="B379" s="21" t="n"/>
      <c r="C379" s="21" t="n"/>
      <c r="D379" s="21" t="n"/>
      <c r="E379" s="21" t="n"/>
    </row>
    <row r="380">
      <c r="A380" s="24" t="n"/>
      <c r="B380" s="21" t="n"/>
      <c r="C380" s="21" t="n"/>
      <c r="D380" s="21" t="n"/>
      <c r="E380" s="21" t="n"/>
    </row>
    <row r="381">
      <c r="A381" s="24" t="n"/>
      <c r="B381" s="21" t="n"/>
      <c r="C381" s="21" t="n"/>
      <c r="D381" s="21" t="n"/>
      <c r="E381" s="21" t="n"/>
    </row>
    <row r="382">
      <c r="A382" s="24" t="n"/>
      <c r="B382" s="21" t="n"/>
      <c r="C382" s="21" t="n"/>
      <c r="D382" s="21" t="n"/>
      <c r="E382" s="21" t="n"/>
    </row>
    <row r="383">
      <c r="A383" s="24" t="n"/>
      <c r="B383" s="21" t="n"/>
      <c r="C383" s="21" t="n"/>
      <c r="D383" s="21" t="n"/>
      <c r="E383" s="21" t="n"/>
    </row>
    <row r="384">
      <c r="A384" s="24" t="n"/>
      <c r="B384" s="21" t="n"/>
      <c r="C384" s="21" t="n"/>
      <c r="D384" s="21" t="n"/>
      <c r="E384" s="21" t="n"/>
    </row>
    <row r="385">
      <c r="A385" s="24" t="n"/>
      <c r="B385" s="21" t="n"/>
      <c r="C385" s="21" t="n"/>
      <c r="D385" s="21" t="n"/>
      <c r="E385" s="21" t="n"/>
    </row>
    <row r="386">
      <c r="A386" s="24" t="n"/>
      <c r="B386" s="21" t="n"/>
      <c r="C386" s="21" t="n"/>
      <c r="D386" s="21" t="n"/>
      <c r="E386" s="21" t="n"/>
    </row>
    <row r="387">
      <c r="A387" s="24" t="n"/>
      <c r="B387" s="21" t="n"/>
      <c r="C387" s="21" t="n"/>
      <c r="D387" s="21" t="n"/>
      <c r="E387" s="21" t="n"/>
    </row>
    <row r="388">
      <c r="A388" s="24" t="n"/>
      <c r="B388" s="21" t="n"/>
      <c r="C388" s="21" t="n"/>
      <c r="D388" s="21" t="n"/>
      <c r="E388" s="21" t="n"/>
    </row>
    <row r="389">
      <c r="A389" s="24" t="n"/>
      <c r="B389" s="21" t="n"/>
      <c r="C389" s="21" t="n"/>
      <c r="D389" s="21" t="n"/>
      <c r="E389" s="21" t="n"/>
    </row>
    <row r="390">
      <c r="A390" s="24" t="n"/>
      <c r="B390" s="21" t="n"/>
      <c r="C390" s="21" t="n"/>
      <c r="D390" s="21" t="n"/>
      <c r="E390" s="21" t="n"/>
    </row>
    <row r="391">
      <c r="A391" s="24" t="n"/>
      <c r="B391" s="21" t="n"/>
      <c r="C391" s="21" t="n"/>
      <c r="D391" s="21" t="n"/>
      <c r="E391" s="21" t="n"/>
    </row>
    <row r="392">
      <c r="A392" s="24" t="n"/>
      <c r="B392" s="21" t="n"/>
      <c r="C392" s="21" t="n"/>
      <c r="D392" s="21" t="n"/>
      <c r="E392" s="21" t="n"/>
    </row>
    <row r="393">
      <c r="A393" s="24" t="n"/>
      <c r="B393" s="21" t="n"/>
      <c r="C393" s="21" t="n"/>
      <c r="D393" s="21" t="n"/>
      <c r="E393" s="21" t="n"/>
    </row>
    <row r="394">
      <c r="A394" s="24" t="n"/>
      <c r="B394" s="21" t="n"/>
      <c r="C394" s="21" t="n"/>
      <c r="D394" s="21" t="n"/>
      <c r="E394" s="21" t="n"/>
    </row>
    <row r="395">
      <c r="A395" s="24" t="n"/>
      <c r="B395" s="21" t="n"/>
      <c r="C395" s="21" t="n"/>
      <c r="D395" s="21" t="n"/>
      <c r="E395" s="21" t="n"/>
    </row>
    <row r="396">
      <c r="A396" s="24" t="n"/>
      <c r="B396" s="21" t="n"/>
      <c r="C396" s="21" t="n"/>
      <c r="D396" s="21" t="n"/>
      <c r="E396" s="21" t="n"/>
    </row>
    <row r="397">
      <c r="A397" s="24" t="n"/>
      <c r="B397" s="21" t="n"/>
      <c r="C397" s="21" t="n"/>
      <c r="D397" s="21" t="n"/>
      <c r="E397" s="21" t="n"/>
    </row>
    <row r="398">
      <c r="A398" s="24" t="n"/>
      <c r="B398" s="21" t="n"/>
      <c r="C398" s="21" t="n"/>
      <c r="D398" s="21" t="n"/>
      <c r="E398" s="21" t="n"/>
    </row>
    <row r="399">
      <c r="A399" s="24" t="n"/>
      <c r="B399" s="21" t="n"/>
      <c r="C399" s="21" t="n"/>
      <c r="D399" s="21" t="n"/>
      <c r="E399" s="21" t="n"/>
    </row>
    <row r="400">
      <c r="A400" s="24" t="n"/>
      <c r="B400" s="21" t="n"/>
      <c r="C400" s="21" t="n"/>
      <c r="D400" s="21" t="n"/>
      <c r="E400" s="21" t="n"/>
    </row>
    <row r="401">
      <c r="A401" s="24" t="n"/>
      <c r="B401" s="21" t="n"/>
      <c r="C401" s="21" t="n"/>
      <c r="D401" s="21" t="n"/>
      <c r="E401" s="21" t="n"/>
    </row>
    <row r="402">
      <c r="A402" s="24" t="n"/>
      <c r="B402" s="21" t="n"/>
      <c r="C402" s="21" t="n"/>
      <c r="D402" s="21" t="n"/>
      <c r="E402" s="21" t="n"/>
    </row>
    <row r="403">
      <c r="A403" s="24" t="n"/>
      <c r="B403" s="21" t="n"/>
      <c r="C403" s="21" t="n"/>
      <c r="D403" s="21" t="n"/>
      <c r="E403" s="21" t="n"/>
    </row>
    <row r="404">
      <c r="A404" s="24" t="n"/>
      <c r="B404" s="21" t="n"/>
      <c r="C404" s="21" t="n"/>
      <c r="D404" s="21" t="n"/>
      <c r="E404" s="21" t="n"/>
    </row>
    <row r="405">
      <c r="A405" s="24" t="n"/>
      <c r="B405" s="21" t="n"/>
      <c r="C405" s="21" t="n"/>
      <c r="D405" s="21" t="n"/>
      <c r="E405" s="21" t="n"/>
    </row>
    <row r="406">
      <c r="A406" s="24" t="n"/>
      <c r="B406" s="21" t="n"/>
      <c r="C406" s="21" t="n"/>
      <c r="D406" s="21" t="n"/>
      <c r="E406" s="21" t="n"/>
    </row>
    <row r="407">
      <c r="A407" s="24" t="n"/>
      <c r="B407" s="21" t="n"/>
      <c r="C407" s="21" t="n"/>
      <c r="D407" s="21" t="n"/>
      <c r="E407" s="21" t="n"/>
    </row>
    <row r="408">
      <c r="A408" s="24" t="n"/>
      <c r="B408" s="21" t="n"/>
      <c r="C408" s="21" t="n"/>
      <c r="D408" s="21" t="n"/>
      <c r="E408" s="21" t="n"/>
    </row>
    <row r="409">
      <c r="A409" s="24" t="n"/>
      <c r="B409" s="21" t="n"/>
      <c r="C409" s="21" t="n"/>
      <c r="D409" s="21" t="n"/>
      <c r="E409" s="21" t="n"/>
    </row>
    <row r="410">
      <c r="A410" s="24" t="n"/>
      <c r="B410" s="21" t="n"/>
      <c r="C410" s="21" t="n"/>
      <c r="D410" s="21" t="n"/>
      <c r="E410" s="21" t="n"/>
    </row>
    <row r="411">
      <c r="A411" s="24" t="n"/>
      <c r="B411" s="21" t="n"/>
      <c r="C411" s="21" t="n"/>
      <c r="D411" s="21" t="n"/>
      <c r="E411" s="21" t="n"/>
    </row>
    <row r="412">
      <c r="A412" s="24" t="n"/>
      <c r="B412" s="21" t="n"/>
      <c r="C412" s="21" t="n"/>
      <c r="D412" s="21" t="n"/>
      <c r="E412" s="21" t="n"/>
    </row>
    <row r="413">
      <c r="A413" s="24" t="n"/>
      <c r="B413" s="21" t="n"/>
      <c r="C413" s="21" t="n"/>
      <c r="D413" s="21" t="n"/>
      <c r="E413" s="21" t="n"/>
    </row>
    <row r="414">
      <c r="A414" s="24" t="n"/>
      <c r="B414" s="21" t="n"/>
      <c r="C414" s="21" t="n"/>
      <c r="D414" s="21" t="n"/>
      <c r="E414" s="21" t="n"/>
    </row>
    <row r="415">
      <c r="A415" s="24" t="n"/>
      <c r="B415" s="21" t="n"/>
      <c r="C415" s="21" t="n"/>
      <c r="D415" s="21" t="n"/>
      <c r="E415" s="21" t="n"/>
    </row>
    <row r="416">
      <c r="A416" s="24" t="n"/>
      <c r="B416" s="21" t="n"/>
      <c r="C416" s="21" t="n"/>
      <c r="D416" s="21" t="n"/>
      <c r="E416" s="21" t="n"/>
    </row>
    <row r="417">
      <c r="A417" s="24" t="n"/>
      <c r="B417" s="21" t="n"/>
      <c r="C417" s="21" t="n"/>
      <c r="D417" s="21" t="n"/>
      <c r="E417" s="21" t="n"/>
    </row>
    <row r="418">
      <c r="A418" s="24" t="n"/>
      <c r="B418" s="21" t="n"/>
      <c r="C418" s="21" t="n"/>
      <c r="D418" s="21" t="n"/>
      <c r="E418" s="21" t="n"/>
    </row>
    <row r="419">
      <c r="A419" s="24" t="n"/>
      <c r="B419" s="21" t="n"/>
      <c r="C419" s="21" t="n"/>
      <c r="D419" s="21" t="n"/>
      <c r="E419" s="21" t="n"/>
    </row>
    <row r="420">
      <c r="A420" s="24" t="n"/>
      <c r="B420" s="21" t="n"/>
      <c r="C420" s="21" t="n"/>
      <c r="D420" s="21" t="n"/>
      <c r="E420" s="21" t="n"/>
    </row>
    <row r="421">
      <c r="A421" s="24" t="n"/>
      <c r="B421" s="21" t="n"/>
      <c r="C421" s="21" t="n"/>
      <c r="D421" s="21" t="n"/>
      <c r="E421" s="21" t="n"/>
    </row>
    <row r="422">
      <c r="A422" s="24" t="n"/>
      <c r="B422" s="21" t="n"/>
      <c r="C422" s="21" t="n"/>
      <c r="D422" s="21" t="n"/>
      <c r="E422" s="21" t="n"/>
    </row>
    <row r="423">
      <c r="A423" s="24" t="n"/>
      <c r="B423" s="21" t="n"/>
      <c r="C423" s="21" t="n"/>
      <c r="D423" s="21" t="n"/>
      <c r="E423" s="21" t="n"/>
    </row>
    <row r="424">
      <c r="A424" s="24" t="n"/>
      <c r="B424" s="21" t="n"/>
      <c r="C424" s="21" t="n"/>
      <c r="D424" s="21" t="n"/>
      <c r="E424" s="21" t="n"/>
    </row>
    <row r="425">
      <c r="A425" s="24" t="n"/>
      <c r="B425" s="21" t="n"/>
      <c r="C425" s="21" t="n"/>
      <c r="D425" s="21" t="n"/>
      <c r="E425" s="21" t="n"/>
    </row>
    <row r="426">
      <c r="A426" s="24" t="n"/>
      <c r="B426" s="21" t="n"/>
      <c r="C426" s="21" t="n"/>
      <c r="D426" s="21" t="n"/>
      <c r="E426" s="21" t="n"/>
    </row>
    <row r="427">
      <c r="A427" s="24" t="n"/>
      <c r="B427" s="21" t="n"/>
      <c r="C427" s="21" t="n"/>
      <c r="D427" s="21" t="n"/>
      <c r="E427" s="21" t="n"/>
    </row>
    <row r="428">
      <c r="A428" s="24" t="n"/>
      <c r="B428" s="21" t="n"/>
      <c r="C428" s="21" t="n"/>
      <c r="D428" s="21" t="n"/>
      <c r="E428" s="21" t="n"/>
    </row>
    <row r="429">
      <c r="A429" s="24" t="n"/>
      <c r="B429" s="21" t="n"/>
      <c r="C429" s="21" t="n"/>
      <c r="D429" s="21" t="n"/>
      <c r="E429" s="21" t="n"/>
    </row>
    <row r="430">
      <c r="A430" s="24" t="n"/>
      <c r="B430" s="21" t="n"/>
      <c r="C430" s="21" t="n"/>
      <c r="D430" s="21" t="n"/>
      <c r="E430" s="21" t="n"/>
    </row>
    <row r="431">
      <c r="A431" s="24" t="n"/>
      <c r="B431" s="21" t="n"/>
      <c r="C431" s="21" t="n"/>
      <c r="D431" s="21" t="n"/>
      <c r="E431" s="21" t="n"/>
    </row>
    <row r="432">
      <c r="A432" s="24" t="n"/>
      <c r="B432" s="21" t="n"/>
      <c r="C432" s="21" t="n"/>
      <c r="D432" s="21" t="n"/>
      <c r="E432" s="21" t="n"/>
    </row>
    <row r="433">
      <c r="A433" s="24" t="n"/>
      <c r="B433" s="21" t="n"/>
      <c r="C433" s="21" t="n"/>
      <c r="D433" s="21" t="n"/>
      <c r="E433" s="21" t="n"/>
    </row>
    <row r="434">
      <c r="A434" s="24" t="n"/>
      <c r="B434" s="21" t="n"/>
      <c r="C434" s="21" t="n"/>
      <c r="D434" s="21" t="n"/>
      <c r="E434" s="21" t="n"/>
    </row>
    <row r="435">
      <c r="A435" s="24" t="n"/>
      <c r="B435" s="21" t="n"/>
      <c r="C435" s="21" t="n"/>
      <c r="D435" s="21" t="n"/>
      <c r="E435" s="21" t="n"/>
    </row>
    <row r="436">
      <c r="A436" s="24" t="n"/>
      <c r="B436" s="21" t="n"/>
      <c r="C436" s="21" t="n"/>
      <c r="D436" s="21" t="n"/>
      <c r="E436" s="21" t="n"/>
    </row>
    <row r="437">
      <c r="A437" s="24" t="n"/>
      <c r="B437" s="21" t="n"/>
      <c r="C437" s="21" t="n"/>
      <c r="D437" s="21" t="n"/>
      <c r="E437" s="21" t="n"/>
    </row>
    <row r="438">
      <c r="A438" s="24" t="n"/>
      <c r="B438" s="21" t="n"/>
      <c r="C438" s="21" t="n"/>
      <c r="D438" s="21" t="n"/>
      <c r="E438" s="21" t="n"/>
    </row>
    <row r="439">
      <c r="A439" s="24" t="n"/>
      <c r="B439" s="21" t="n"/>
      <c r="C439" s="21" t="n"/>
      <c r="D439" s="21" t="n"/>
      <c r="E439" s="21" t="n"/>
    </row>
    <row r="440">
      <c r="A440" s="24" t="n"/>
      <c r="B440" s="21" t="n"/>
      <c r="C440" s="21" t="n"/>
      <c r="D440" s="21" t="n"/>
      <c r="E440" s="21" t="n"/>
    </row>
    <row r="441">
      <c r="A441" s="24" t="n"/>
      <c r="B441" s="21" t="n"/>
      <c r="C441" s="21" t="n"/>
      <c r="D441" s="21" t="n"/>
      <c r="E441" s="21" t="n"/>
    </row>
    <row r="442">
      <c r="A442" s="24" t="n"/>
      <c r="B442" s="21" t="n"/>
      <c r="C442" s="21" t="n"/>
      <c r="D442" s="21" t="n"/>
      <c r="E442" s="21" t="n"/>
    </row>
    <row r="443">
      <c r="A443" s="24" t="n"/>
      <c r="B443" s="21" t="n"/>
      <c r="C443" s="21" t="n"/>
      <c r="D443" s="21" t="n"/>
      <c r="E443" s="21" t="n"/>
    </row>
    <row r="444">
      <c r="A444" s="24" t="n"/>
      <c r="B444" s="21" t="n"/>
      <c r="C444" s="21" t="n"/>
      <c r="D444" s="21" t="n"/>
      <c r="E444" s="21" t="n"/>
    </row>
    <row r="445">
      <c r="A445" s="24" t="n"/>
      <c r="B445" s="21" t="n"/>
      <c r="C445" s="21" t="n"/>
      <c r="D445" s="21" t="n"/>
      <c r="E445" s="21" t="n"/>
    </row>
    <row r="446">
      <c r="A446" s="24" t="n"/>
      <c r="B446" s="21" t="n"/>
      <c r="C446" s="21" t="n"/>
      <c r="D446" s="21" t="n"/>
      <c r="E446" s="21" t="n"/>
    </row>
    <row r="447">
      <c r="A447" s="24" t="n"/>
      <c r="B447" s="21" t="n"/>
      <c r="C447" s="21" t="n"/>
      <c r="D447" s="21" t="n"/>
      <c r="E447" s="21" t="n"/>
    </row>
    <row r="448">
      <c r="A448" s="24" t="n"/>
      <c r="B448" s="21" t="n"/>
      <c r="C448" s="21" t="n"/>
      <c r="D448" s="21" t="n"/>
      <c r="E448" s="21" t="n"/>
    </row>
    <row r="449">
      <c r="A449" s="24" t="n"/>
      <c r="B449" s="21" t="n"/>
      <c r="C449" s="21" t="n"/>
      <c r="D449" s="21" t="n"/>
      <c r="E449" s="21" t="n"/>
    </row>
    <row r="450">
      <c r="A450" s="24" t="n"/>
      <c r="B450" s="21" t="n"/>
      <c r="C450" s="21" t="n"/>
      <c r="D450" s="21" t="n"/>
      <c r="E450" s="21" t="n"/>
    </row>
    <row r="451">
      <c r="A451" s="24" t="n"/>
      <c r="B451" s="21" t="n"/>
      <c r="C451" s="21" t="n"/>
      <c r="D451" s="21" t="n"/>
      <c r="E451" s="21" t="n"/>
    </row>
    <row r="452">
      <c r="A452" s="24" t="n"/>
      <c r="B452" s="21" t="n"/>
      <c r="C452" s="21" t="n"/>
      <c r="D452" s="21" t="n"/>
      <c r="E452" s="21" t="n"/>
    </row>
    <row r="453">
      <c r="A453" s="24" t="n"/>
      <c r="B453" s="21" t="n"/>
      <c r="C453" s="21" t="n"/>
      <c r="D453" s="21" t="n"/>
      <c r="E453" s="21" t="n"/>
    </row>
    <row r="454">
      <c r="A454" s="24" t="n"/>
      <c r="B454" s="21" t="n"/>
      <c r="C454" s="21" t="n"/>
      <c r="D454" s="21" t="n"/>
      <c r="E454" s="21" t="n"/>
    </row>
    <row r="455">
      <c r="A455" s="24" t="n"/>
      <c r="B455" s="21" t="n"/>
      <c r="C455" s="21" t="n"/>
      <c r="D455" s="21" t="n"/>
      <c r="E455" s="21" t="n"/>
    </row>
    <row r="456">
      <c r="A456" s="24" t="n"/>
      <c r="B456" s="21" t="n"/>
      <c r="C456" s="21" t="n"/>
      <c r="D456" s="21" t="n"/>
      <c r="E456" s="21" t="n"/>
    </row>
    <row r="457">
      <c r="A457" s="24" t="n"/>
      <c r="B457" s="21" t="n"/>
      <c r="C457" s="21" t="n"/>
      <c r="D457" s="21" t="n"/>
      <c r="E457" s="21" t="n"/>
    </row>
    <row r="458">
      <c r="A458" s="24" t="n"/>
      <c r="B458" s="21" t="n"/>
      <c r="C458" s="21" t="n"/>
      <c r="D458" s="21" t="n"/>
      <c r="E458" s="21" t="n"/>
    </row>
    <row r="459">
      <c r="A459" s="24" t="n"/>
      <c r="B459" s="21" t="n"/>
      <c r="C459" s="21" t="n"/>
      <c r="D459" s="21" t="n"/>
      <c r="E459" s="21" t="n"/>
    </row>
    <row r="460">
      <c r="A460" s="24" t="n"/>
      <c r="B460" s="21" t="n"/>
      <c r="C460" s="21" t="n"/>
      <c r="D460" s="21" t="n"/>
      <c r="E460" s="21" t="n"/>
    </row>
    <row r="461">
      <c r="A461" s="24" t="n"/>
      <c r="B461" s="21" t="n"/>
      <c r="C461" s="21" t="n"/>
      <c r="D461" s="21" t="n"/>
      <c r="E461" s="21" t="n"/>
    </row>
    <row r="462">
      <c r="A462" s="24" t="n"/>
      <c r="B462" s="21" t="n"/>
      <c r="C462" s="21" t="n"/>
      <c r="D462" s="21" t="n"/>
      <c r="E462" s="21" t="n"/>
    </row>
    <row r="463">
      <c r="A463" s="24" t="n"/>
      <c r="B463" s="21" t="n"/>
      <c r="C463" s="21" t="n"/>
      <c r="D463" s="21" t="n"/>
      <c r="E463" s="21" t="n"/>
    </row>
    <row r="464">
      <c r="A464" s="24" t="n"/>
      <c r="B464" s="21" t="n"/>
      <c r="C464" s="21" t="n"/>
      <c r="D464" s="21" t="n"/>
      <c r="E464" s="21" t="n"/>
    </row>
    <row r="465">
      <c r="A465" s="24" t="n"/>
      <c r="B465" s="21" t="n"/>
      <c r="C465" s="21" t="n"/>
      <c r="D465" s="21" t="n"/>
      <c r="E465" s="21" t="n"/>
    </row>
    <row r="466">
      <c r="A466" s="24" t="n"/>
      <c r="B466" s="21" t="n"/>
      <c r="C466" s="21" t="n"/>
      <c r="D466" s="21" t="n"/>
      <c r="E466" s="21" t="n"/>
    </row>
    <row r="467">
      <c r="A467" s="24" t="n"/>
      <c r="B467" s="21" t="n"/>
      <c r="C467" s="21" t="n"/>
      <c r="D467" s="21" t="n"/>
      <c r="E467" s="21" t="n"/>
    </row>
    <row r="468">
      <c r="A468" s="24" t="n"/>
      <c r="B468" s="21" t="n"/>
      <c r="C468" s="21" t="n"/>
      <c r="D468" s="21" t="n"/>
      <c r="E468" s="21" t="n"/>
    </row>
    <row r="469">
      <c r="A469" s="24" t="n"/>
      <c r="B469" s="21" t="n"/>
      <c r="C469" s="21" t="n"/>
      <c r="D469" s="21" t="n"/>
      <c r="E469" s="21" t="n"/>
    </row>
    <row r="470">
      <c r="A470" s="24" t="n"/>
      <c r="B470" s="21" t="n"/>
      <c r="C470" s="21" t="n"/>
      <c r="D470" s="21" t="n"/>
      <c r="E470" s="21" t="n"/>
    </row>
    <row r="471">
      <c r="A471" s="24" t="n"/>
      <c r="B471" s="21" t="n"/>
      <c r="C471" s="21" t="n"/>
      <c r="D471" s="21" t="n"/>
      <c r="E471" s="21" t="n"/>
    </row>
    <row r="472">
      <c r="A472" s="24" t="n"/>
      <c r="B472" s="21" t="n"/>
      <c r="C472" s="21" t="n"/>
      <c r="D472" s="21" t="n"/>
      <c r="E472" s="21" t="n"/>
    </row>
    <row r="473">
      <c r="A473" s="24" t="n"/>
      <c r="B473" s="21" t="n"/>
      <c r="C473" s="21" t="n"/>
      <c r="D473" s="21" t="n"/>
      <c r="E473" s="21" t="n"/>
    </row>
    <row r="474">
      <c r="A474" s="24" t="n"/>
      <c r="B474" s="21" t="n"/>
      <c r="C474" s="21" t="n"/>
      <c r="D474" s="21" t="n"/>
      <c r="E474" s="21" t="n"/>
    </row>
    <row r="475">
      <c r="A475" s="24" t="n"/>
      <c r="B475" s="21" t="n"/>
      <c r="C475" s="21" t="n"/>
      <c r="D475" s="21" t="n"/>
      <c r="E475" s="21" t="n"/>
    </row>
    <row r="476">
      <c r="A476" s="24" t="n"/>
      <c r="B476" s="21" t="n"/>
      <c r="C476" s="21" t="n"/>
      <c r="D476" s="21" t="n"/>
      <c r="E476" s="21" t="n"/>
    </row>
    <row r="477">
      <c r="A477" s="24" t="n"/>
      <c r="B477" s="21" t="n"/>
      <c r="C477" s="21" t="n"/>
      <c r="D477" s="21" t="n"/>
      <c r="E477" s="21" t="n"/>
    </row>
    <row r="478">
      <c r="A478" s="24" t="n"/>
      <c r="B478" s="21" t="n"/>
      <c r="C478" s="21" t="n"/>
      <c r="D478" s="21" t="n"/>
      <c r="E478" s="21" t="n"/>
    </row>
    <row r="479">
      <c r="A479" s="24" t="n"/>
      <c r="B479" s="21" t="n"/>
      <c r="C479" s="21" t="n"/>
      <c r="D479" s="21" t="n"/>
      <c r="E479" s="21" t="n"/>
    </row>
    <row r="480">
      <c r="A480" s="24" t="n"/>
      <c r="B480" s="21" t="n"/>
      <c r="C480" s="21" t="n"/>
      <c r="D480" s="21" t="n"/>
      <c r="E480" s="21" t="n"/>
    </row>
    <row r="481">
      <c r="A481" s="24" t="n"/>
      <c r="B481" s="21" t="n"/>
      <c r="C481" s="21" t="n"/>
      <c r="D481" s="21" t="n"/>
      <c r="E481" s="21" t="n"/>
    </row>
    <row r="482">
      <c r="A482" s="24" t="n"/>
      <c r="B482" s="21" t="n"/>
      <c r="C482" s="21" t="n"/>
      <c r="D482" s="21" t="n"/>
      <c r="E482" s="21" t="n"/>
    </row>
    <row r="483">
      <c r="A483" s="24" t="n"/>
      <c r="B483" s="21" t="n"/>
      <c r="C483" s="21" t="n"/>
      <c r="D483" s="21" t="n"/>
      <c r="E483" s="21" t="n"/>
    </row>
    <row r="484">
      <c r="A484" s="24" t="n"/>
      <c r="B484" s="21" t="n"/>
      <c r="C484" s="21" t="n"/>
      <c r="D484" s="21" t="n"/>
      <c r="E484" s="21" t="n"/>
    </row>
    <row r="485">
      <c r="A485" s="24" t="n"/>
      <c r="B485" s="21" t="n"/>
      <c r="C485" s="21" t="n"/>
      <c r="D485" s="21" t="n"/>
      <c r="E485" s="21" t="n"/>
    </row>
    <row r="486">
      <c r="A486" s="24" t="n"/>
      <c r="B486" s="21" t="n"/>
      <c r="C486" s="21" t="n"/>
      <c r="D486" s="21" t="n"/>
      <c r="E486" s="21" t="n"/>
    </row>
    <row r="487">
      <c r="A487" s="24" t="n"/>
      <c r="B487" s="21" t="n"/>
      <c r="C487" s="21" t="n"/>
      <c r="D487" s="21" t="n"/>
      <c r="E487" s="21" t="n"/>
    </row>
    <row r="488">
      <c r="A488" s="24" t="n"/>
      <c r="B488" s="21" t="n"/>
      <c r="C488" s="21" t="n"/>
      <c r="D488" s="21" t="n"/>
      <c r="E488" s="21" t="n"/>
    </row>
    <row r="489">
      <c r="A489" s="24" t="n"/>
      <c r="B489" s="21" t="n"/>
      <c r="C489" s="21" t="n"/>
      <c r="D489" s="21" t="n"/>
      <c r="E489" s="21" t="n"/>
    </row>
    <row r="490">
      <c r="A490" s="24" t="n"/>
      <c r="B490" s="21" t="n"/>
      <c r="C490" s="21" t="n"/>
      <c r="D490" s="21" t="n"/>
      <c r="E490" s="21" t="n"/>
    </row>
    <row r="491">
      <c r="A491" s="24" t="n"/>
      <c r="B491" s="21" t="n"/>
      <c r="C491" s="21" t="n"/>
      <c r="D491" s="21" t="n"/>
      <c r="E491" s="21" t="n"/>
    </row>
    <row r="492">
      <c r="A492" s="24" t="n"/>
      <c r="B492" s="21" t="n"/>
      <c r="C492" s="21" t="n"/>
      <c r="D492" s="21" t="n"/>
      <c r="E492" s="21" t="n"/>
    </row>
    <row r="493">
      <c r="A493" s="24" t="n"/>
      <c r="B493" s="21" t="n"/>
      <c r="C493" s="21" t="n"/>
      <c r="D493" s="21" t="n"/>
      <c r="E493" s="21" t="n"/>
    </row>
    <row r="494">
      <c r="A494" s="24" t="n"/>
      <c r="B494" s="21" t="n"/>
      <c r="C494" s="21" t="n"/>
      <c r="D494" s="21" t="n"/>
      <c r="E494" s="21" t="n"/>
    </row>
    <row r="495">
      <c r="A495" s="24" t="n"/>
      <c r="B495" s="21" t="n"/>
      <c r="C495" s="21" t="n"/>
      <c r="D495" s="21" t="n"/>
      <c r="E495" s="21" t="n"/>
    </row>
    <row r="496">
      <c r="A496" s="24" t="n"/>
      <c r="B496" s="21" t="n"/>
      <c r="C496" s="21" t="n"/>
      <c r="D496" s="21" t="n"/>
      <c r="E496" s="21" t="n"/>
    </row>
    <row r="497">
      <c r="A497" s="24" t="n"/>
      <c r="B497" s="21" t="n"/>
      <c r="C497" s="21" t="n"/>
      <c r="D497" s="21" t="n"/>
      <c r="E497" s="21" t="n"/>
    </row>
    <row r="498">
      <c r="A498" s="24" t="n"/>
      <c r="B498" s="21" t="n"/>
      <c r="C498" s="21" t="n"/>
      <c r="D498" s="21" t="n"/>
      <c r="E498" s="21" t="n"/>
    </row>
    <row r="499">
      <c r="A499" s="24" t="n"/>
      <c r="B499" s="21" t="n"/>
      <c r="C499" s="21" t="n"/>
      <c r="D499" s="21" t="n"/>
      <c r="E499" s="21" t="n"/>
    </row>
    <row r="500">
      <c r="A500" s="24" t="n"/>
      <c r="B500" s="21" t="n"/>
      <c r="C500" s="21" t="n"/>
      <c r="D500" s="21" t="n"/>
      <c r="E500" s="21" t="n"/>
    </row>
    <row r="501">
      <c r="A501" s="24" t="n"/>
      <c r="B501" s="21" t="n"/>
      <c r="C501" s="21" t="n"/>
      <c r="D501" s="21" t="n"/>
      <c r="E501" s="21" t="n"/>
    </row>
    <row r="502">
      <c r="A502" s="24" t="n"/>
      <c r="B502" s="21" t="n"/>
      <c r="C502" s="21" t="n"/>
      <c r="D502" s="21" t="n"/>
      <c r="E502" s="21" t="n"/>
    </row>
    <row r="503">
      <c r="A503" s="24" t="n"/>
      <c r="B503" s="21" t="n"/>
      <c r="C503" s="21" t="n"/>
      <c r="D503" s="21" t="n"/>
      <c r="E503" s="21" t="n"/>
    </row>
    <row r="504">
      <c r="A504" s="24" t="n"/>
      <c r="B504" s="21" t="n"/>
      <c r="C504" s="21" t="n"/>
      <c r="D504" s="21" t="n"/>
      <c r="E504" s="21" t="n"/>
    </row>
    <row r="505">
      <c r="A505" s="24" t="n"/>
      <c r="B505" s="21" t="n"/>
      <c r="C505" s="21" t="n"/>
      <c r="D505" s="21" t="n"/>
      <c r="E505" s="21" t="n"/>
    </row>
    <row r="506">
      <c r="A506" s="24" t="n"/>
      <c r="B506" s="21" t="n"/>
      <c r="C506" s="21" t="n"/>
      <c r="D506" s="21" t="n"/>
      <c r="E506" s="21" t="n"/>
    </row>
    <row r="507">
      <c r="A507" s="24" t="n"/>
      <c r="B507" s="21" t="n"/>
      <c r="C507" s="21" t="n"/>
      <c r="D507" s="21" t="n"/>
      <c r="E507" s="21" t="n"/>
    </row>
    <row r="508">
      <c r="A508" s="24" t="n"/>
      <c r="B508" s="21" t="n"/>
      <c r="C508" s="21" t="n"/>
      <c r="D508" s="21" t="n"/>
      <c r="E508" s="21" t="n"/>
    </row>
    <row r="509">
      <c r="A509" s="24" t="n"/>
      <c r="B509" s="21" t="n"/>
      <c r="C509" s="21" t="n"/>
      <c r="D509" s="21" t="n"/>
      <c r="E509" s="21" t="n"/>
    </row>
    <row r="510">
      <c r="A510" s="24" t="n"/>
      <c r="B510" s="21" t="n"/>
      <c r="C510" s="21" t="n"/>
      <c r="D510" s="21" t="n"/>
      <c r="E510" s="21" t="n"/>
    </row>
    <row r="511">
      <c r="A511" s="24" t="n"/>
      <c r="B511" s="21" t="n"/>
      <c r="C511" s="21" t="n"/>
      <c r="D511" s="21" t="n"/>
      <c r="E511" s="21" t="n"/>
    </row>
    <row r="512">
      <c r="A512" s="24" t="n"/>
      <c r="B512" s="21" t="n"/>
      <c r="C512" s="21" t="n"/>
      <c r="D512" s="21" t="n"/>
      <c r="E512" s="21" t="n"/>
    </row>
    <row r="513">
      <c r="A513" s="24" t="n"/>
      <c r="B513" s="21" t="n"/>
      <c r="C513" s="21" t="n"/>
      <c r="D513" s="21" t="n"/>
      <c r="E513" s="21" t="n"/>
    </row>
    <row r="514">
      <c r="A514" s="24" t="n"/>
      <c r="B514" s="21" t="n"/>
      <c r="C514" s="21" t="n"/>
      <c r="D514" s="21" t="n"/>
      <c r="E514" s="21" t="n"/>
    </row>
    <row r="515">
      <c r="A515" s="24" t="n"/>
      <c r="B515" s="21" t="n"/>
      <c r="C515" s="21" t="n"/>
      <c r="D515" s="21" t="n"/>
      <c r="E515" s="21" t="n"/>
    </row>
    <row r="516">
      <c r="A516" s="24" t="n"/>
      <c r="B516" s="21" t="n"/>
      <c r="C516" s="21" t="n"/>
      <c r="D516" s="21" t="n"/>
      <c r="E516" s="21" t="n"/>
    </row>
    <row r="517">
      <c r="A517" s="24" t="n"/>
      <c r="B517" s="21" t="n"/>
      <c r="C517" s="21" t="n"/>
      <c r="D517" s="21" t="n"/>
      <c r="E517" s="21" t="n"/>
    </row>
    <row r="518">
      <c r="A518" s="24" t="n"/>
      <c r="B518" s="21" t="n"/>
      <c r="C518" s="21" t="n"/>
      <c r="D518" s="21" t="n"/>
      <c r="E518" s="21" t="n"/>
    </row>
    <row r="519">
      <c r="A519" s="24" t="n"/>
      <c r="B519" s="21" t="n"/>
      <c r="C519" s="21" t="n"/>
      <c r="D519" s="21" t="n"/>
      <c r="E519" s="21" t="n"/>
    </row>
    <row r="520">
      <c r="A520" s="24" t="n"/>
      <c r="B520" s="21" t="n"/>
      <c r="C520" s="21" t="n"/>
      <c r="D520" s="21" t="n"/>
      <c r="E520" s="21" t="n"/>
    </row>
    <row r="521">
      <c r="A521" s="24" t="n"/>
      <c r="B521" s="21" t="n"/>
      <c r="C521" s="21" t="n"/>
      <c r="D521" s="21" t="n"/>
      <c r="E521" s="21" t="n"/>
    </row>
    <row r="522">
      <c r="A522" s="24" t="n"/>
      <c r="B522" s="21" t="n"/>
      <c r="C522" s="21" t="n"/>
      <c r="D522" s="21" t="n"/>
      <c r="E522" s="21" t="n"/>
    </row>
    <row r="523">
      <c r="A523" s="24" t="n"/>
      <c r="B523" s="21" t="n"/>
      <c r="C523" s="21" t="n"/>
      <c r="D523" s="21" t="n"/>
      <c r="E523" s="21" t="n"/>
    </row>
    <row r="524">
      <c r="A524" s="24" t="n"/>
      <c r="B524" s="21" t="n"/>
      <c r="C524" s="21" t="n"/>
      <c r="D524" s="21" t="n"/>
      <c r="E524" s="21" t="n"/>
    </row>
    <row r="525">
      <c r="A525" s="24" t="n"/>
      <c r="B525" s="21" t="n"/>
      <c r="C525" s="21" t="n"/>
      <c r="D525" s="21" t="n"/>
      <c r="E525" s="21" t="n"/>
    </row>
    <row r="526">
      <c r="A526" s="24" t="n"/>
      <c r="B526" s="21" t="n"/>
      <c r="C526" s="21" t="n"/>
      <c r="D526" s="21" t="n"/>
      <c r="E526" s="21" t="n"/>
    </row>
    <row r="527">
      <c r="A527" s="24" t="n"/>
      <c r="B527" s="21" t="n"/>
      <c r="C527" s="21" t="n"/>
      <c r="D527" s="21" t="n"/>
      <c r="E527" s="21" t="n"/>
    </row>
    <row r="528">
      <c r="A528" s="24" t="n"/>
      <c r="B528" s="21" t="n"/>
      <c r="C528" s="21" t="n"/>
      <c r="D528" s="21" t="n"/>
      <c r="E528" s="21" t="n"/>
    </row>
    <row r="529">
      <c r="A529" s="24" t="n"/>
      <c r="B529" s="21" t="n"/>
      <c r="C529" s="21" t="n"/>
      <c r="D529" s="21" t="n"/>
      <c r="E529" s="21" t="n"/>
    </row>
    <row r="530">
      <c r="A530" s="24" t="n"/>
      <c r="B530" s="21" t="n"/>
      <c r="C530" s="21" t="n"/>
      <c r="D530" s="21" t="n"/>
      <c r="E530" s="21" t="n"/>
    </row>
    <row r="531">
      <c r="A531" s="24" t="n"/>
      <c r="B531" s="21" t="n"/>
      <c r="C531" s="21" t="n"/>
      <c r="D531" s="21" t="n"/>
      <c r="E531" s="21" t="n"/>
    </row>
    <row r="532">
      <c r="A532" s="24" t="n"/>
      <c r="B532" s="21" t="n"/>
      <c r="C532" s="21" t="n"/>
      <c r="D532" s="21" t="n"/>
      <c r="E532" s="21" t="n"/>
    </row>
    <row r="533">
      <c r="A533" s="24" t="n"/>
      <c r="B533" s="21" t="n"/>
      <c r="C533" s="21" t="n"/>
      <c r="D533" s="21" t="n"/>
      <c r="E533" s="21" t="n"/>
    </row>
    <row r="534">
      <c r="A534" s="24" t="n"/>
      <c r="B534" s="21" t="n"/>
      <c r="C534" s="21" t="n"/>
      <c r="D534" s="21" t="n"/>
      <c r="E534" s="21" t="n"/>
    </row>
    <row r="535">
      <c r="A535" s="24" t="n"/>
      <c r="B535" s="21" t="n"/>
      <c r="C535" s="21" t="n"/>
      <c r="D535" s="21" t="n"/>
      <c r="E535" s="21" t="n"/>
    </row>
    <row r="536">
      <c r="A536" s="24" t="n"/>
      <c r="B536" s="21" t="n"/>
      <c r="C536" s="21" t="n"/>
      <c r="D536" s="21" t="n"/>
      <c r="E536" s="21" t="n"/>
    </row>
    <row r="537">
      <c r="A537" s="24" t="n"/>
      <c r="B537" s="21" t="n"/>
      <c r="C537" s="21" t="n"/>
      <c r="D537" s="21" t="n"/>
      <c r="E537" s="21" t="n"/>
    </row>
    <row r="538">
      <c r="A538" s="24" t="n"/>
      <c r="B538" s="21" t="n"/>
      <c r="C538" s="21" t="n"/>
      <c r="D538" s="21" t="n"/>
      <c r="E538" s="21" t="n"/>
    </row>
    <row r="539">
      <c r="A539" s="24" t="n"/>
      <c r="B539" s="21" t="n"/>
      <c r="C539" s="21" t="n"/>
      <c r="D539" s="21" t="n"/>
      <c r="E539" s="21" t="n"/>
    </row>
    <row r="540">
      <c r="A540" s="24" t="n"/>
      <c r="B540" s="21" t="n"/>
      <c r="C540" s="21" t="n"/>
      <c r="D540" s="21" t="n"/>
      <c r="E540" s="21" t="n"/>
    </row>
    <row r="541">
      <c r="A541" s="24" t="n"/>
      <c r="B541" s="21" t="n"/>
      <c r="C541" s="21" t="n"/>
      <c r="D541" s="21" t="n"/>
      <c r="E541" s="21" t="n"/>
    </row>
    <row r="542">
      <c r="A542" s="24" t="n"/>
      <c r="B542" s="21" t="n"/>
      <c r="C542" s="21" t="n"/>
      <c r="D542" s="21" t="n"/>
      <c r="E542" s="21" t="n"/>
    </row>
    <row r="543">
      <c r="A543" s="24" t="n"/>
      <c r="B543" s="21" t="n"/>
      <c r="C543" s="21" t="n"/>
      <c r="D543" s="21" t="n"/>
      <c r="E543" s="21" t="n"/>
    </row>
    <row r="544">
      <c r="A544" s="24" t="n"/>
      <c r="B544" s="21" t="n"/>
      <c r="C544" s="21" t="n"/>
      <c r="D544" s="21" t="n"/>
      <c r="E544" s="21" t="n"/>
    </row>
    <row r="545">
      <c r="A545" s="24" t="n"/>
      <c r="B545" s="21" t="n"/>
      <c r="C545" s="21" t="n"/>
      <c r="D545" s="21" t="n"/>
      <c r="E545" s="21" t="n"/>
    </row>
    <row r="546">
      <c r="A546" s="24" t="n"/>
      <c r="B546" s="21" t="n"/>
      <c r="C546" s="21" t="n"/>
      <c r="D546" s="21" t="n"/>
      <c r="E546" s="21" t="n"/>
    </row>
    <row r="547">
      <c r="A547" s="24" t="n"/>
      <c r="B547" s="21" t="n"/>
      <c r="C547" s="21" t="n"/>
      <c r="D547" s="21" t="n"/>
      <c r="E547" s="21" t="n"/>
    </row>
    <row r="548">
      <c r="A548" s="24" t="n"/>
      <c r="B548" s="21" t="n"/>
      <c r="C548" s="21" t="n"/>
      <c r="D548" s="21" t="n"/>
      <c r="E548" s="21" t="n"/>
    </row>
    <row r="549">
      <c r="A549" s="24" t="n"/>
      <c r="B549" s="21" t="n"/>
      <c r="C549" s="21" t="n"/>
      <c r="D549" s="21" t="n"/>
      <c r="E549" s="21" t="n"/>
    </row>
    <row r="550">
      <c r="A550" s="24" t="n"/>
      <c r="B550" s="21" t="n"/>
      <c r="C550" s="21" t="n"/>
      <c r="D550" s="21" t="n"/>
      <c r="E550" s="21" t="n"/>
    </row>
    <row r="551">
      <c r="A551" s="24" t="n"/>
      <c r="B551" s="21" t="n"/>
      <c r="C551" s="21" t="n"/>
      <c r="D551" s="21" t="n"/>
      <c r="E551" s="21" t="n"/>
    </row>
    <row r="552">
      <c r="A552" s="24" t="n"/>
      <c r="B552" s="21" t="n"/>
      <c r="C552" s="21" t="n"/>
      <c r="D552" s="21" t="n"/>
      <c r="E552" s="21" t="n"/>
    </row>
    <row r="553">
      <c r="A553" s="24" t="n"/>
      <c r="B553" s="21" t="n"/>
      <c r="C553" s="21" t="n"/>
      <c r="D553" s="21" t="n"/>
      <c r="E553" s="21" t="n"/>
    </row>
    <row r="554">
      <c r="A554" s="24" t="n"/>
      <c r="B554" s="21" t="n"/>
      <c r="C554" s="21" t="n"/>
      <c r="D554" s="21" t="n"/>
      <c r="E554" s="21" t="n"/>
    </row>
    <row r="555">
      <c r="A555" s="24" t="n"/>
      <c r="B555" s="21" t="n"/>
      <c r="C555" s="21" t="n"/>
      <c r="D555" s="21" t="n"/>
      <c r="E555" s="21" t="n"/>
    </row>
    <row r="556">
      <c r="A556" s="24" t="n"/>
      <c r="B556" s="21" t="n"/>
      <c r="C556" s="21" t="n"/>
      <c r="D556" s="21" t="n"/>
      <c r="E556" s="21" t="n"/>
    </row>
    <row r="557">
      <c r="A557" s="24" t="n"/>
      <c r="B557" s="21" t="n"/>
      <c r="C557" s="21" t="n"/>
      <c r="D557" s="21" t="n"/>
      <c r="E557" s="21" t="n"/>
    </row>
    <row r="558">
      <c r="A558" s="24" t="n"/>
      <c r="B558" s="21" t="n"/>
      <c r="C558" s="21" t="n"/>
      <c r="D558" s="21" t="n"/>
      <c r="E558" s="21" t="n"/>
    </row>
    <row r="559">
      <c r="A559" s="24" t="n"/>
      <c r="B559" s="21" t="n"/>
      <c r="C559" s="21" t="n"/>
      <c r="D559" s="21" t="n"/>
      <c r="E559" s="21" t="n"/>
    </row>
    <row r="560">
      <c r="A560" s="24" t="n"/>
      <c r="B560" s="21" t="n"/>
      <c r="C560" s="21" t="n"/>
      <c r="D560" s="21" t="n"/>
      <c r="E560" s="21" t="n"/>
    </row>
    <row r="561">
      <c r="A561" s="24" t="n"/>
      <c r="B561" s="21" t="n"/>
      <c r="C561" s="21" t="n"/>
      <c r="D561" s="21" t="n"/>
      <c r="E561" s="21" t="n"/>
    </row>
    <row r="562">
      <c r="A562" s="24" t="n"/>
      <c r="B562" s="21" t="n"/>
      <c r="C562" s="21" t="n"/>
      <c r="D562" s="21" t="n"/>
      <c r="E562" s="21" t="n"/>
    </row>
    <row r="563">
      <c r="A563" s="24" t="n"/>
      <c r="B563" s="21" t="n"/>
      <c r="C563" s="21" t="n"/>
      <c r="D563" s="21" t="n"/>
      <c r="E563" s="21" t="n"/>
    </row>
    <row r="564">
      <c r="A564" s="24" t="n"/>
      <c r="B564" s="21" t="n"/>
      <c r="C564" s="21" t="n"/>
      <c r="D564" s="21" t="n"/>
      <c r="E564" s="21" t="n"/>
    </row>
    <row r="565">
      <c r="A565" s="24" t="n"/>
      <c r="B565" s="21" t="n"/>
      <c r="C565" s="21" t="n"/>
      <c r="D565" s="21" t="n"/>
      <c r="E565" s="21" t="n"/>
    </row>
    <row r="566">
      <c r="A566" s="24" t="n"/>
      <c r="B566" s="21" t="n"/>
      <c r="C566" s="21" t="n"/>
      <c r="D566" s="21" t="n"/>
      <c r="E566" s="21" t="n"/>
    </row>
    <row r="567">
      <c r="A567" s="24" t="n"/>
      <c r="B567" s="21" t="n"/>
      <c r="C567" s="21" t="n"/>
      <c r="D567" s="21" t="n"/>
      <c r="E567" s="21" t="n"/>
    </row>
    <row r="568">
      <c r="A568" s="24" t="n"/>
      <c r="B568" s="21" t="n"/>
      <c r="C568" s="21" t="n"/>
      <c r="D568" s="21" t="n"/>
      <c r="E568" s="21" t="n"/>
    </row>
    <row r="569">
      <c r="A569" s="24" t="n"/>
      <c r="B569" s="21" t="n"/>
      <c r="C569" s="21" t="n"/>
      <c r="D569" s="21" t="n"/>
      <c r="E569" s="21" t="n"/>
    </row>
    <row r="570">
      <c r="A570" s="24" t="n"/>
      <c r="B570" s="21" t="n"/>
      <c r="C570" s="21" t="n"/>
      <c r="D570" s="21" t="n"/>
      <c r="E570" s="21" t="n"/>
    </row>
    <row r="571">
      <c r="A571" s="24" t="n"/>
      <c r="B571" s="21" t="n"/>
      <c r="C571" s="21" t="n"/>
      <c r="D571" s="21" t="n"/>
      <c r="E571" s="21" t="n"/>
    </row>
    <row r="572">
      <c r="A572" s="24" t="n"/>
      <c r="B572" s="21" t="n"/>
      <c r="C572" s="21" t="n"/>
      <c r="D572" s="21" t="n"/>
      <c r="E572" s="21" t="n"/>
    </row>
    <row r="573">
      <c r="A573" s="24" t="n"/>
      <c r="B573" s="21" t="n"/>
      <c r="C573" s="21" t="n"/>
      <c r="D573" s="21" t="n"/>
      <c r="E573" s="21" t="n"/>
    </row>
    <row r="574">
      <c r="A574" s="24" t="n"/>
      <c r="B574" s="21" t="n"/>
      <c r="C574" s="21" t="n"/>
      <c r="D574" s="21" t="n"/>
      <c r="E574" s="21" t="n"/>
    </row>
    <row r="575">
      <c r="A575" s="24" t="n"/>
      <c r="B575" s="21" t="n"/>
      <c r="C575" s="21" t="n"/>
      <c r="D575" s="21" t="n"/>
      <c r="E575" s="21" t="n"/>
    </row>
    <row r="576">
      <c r="A576" s="24" t="n"/>
      <c r="B576" s="21" t="n"/>
      <c r="C576" s="21" t="n"/>
      <c r="D576" s="21" t="n"/>
      <c r="E576" s="21" t="n"/>
    </row>
    <row r="577">
      <c r="A577" s="24" t="n"/>
      <c r="B577" s="21" t="n"/>
      <c r="C577" s="21" t="n"/>
      <c r="D577" s="21" t="n"/>
      <c r="E577" s="21" t="n"/>
    </row>
    <row r="578">
      <c r="A578" s="24" t="n"/>
      <c r="B578" s="21" t="n"/>
      <c r="C578" s="21" t="n"/>
      <c r="D578" s="21" t="n"/>
      <c r="E578" s="21" t="n"/>
    </row>
    <row r="579">
      <c r="A579" s="24" t="n"/>
      <c r="B579" s="21" t="n"/>
      <c r="C579" s="21" t="n"/>
      <c r="D579" s="21" t="n"/>
      <c r="E579" s="21" t="n"/>
    </row>
    <row r="580">
      <c r="A580" s="24" t="n"/>
      <c r="B580" s="21" t="n"/>
      <c r="C580" s="21" t="n"/>
      <c r="D580" s="21" t="n"/>
      <c r="E580" s="21" t="n"/>
    </row>
    <row r="581">
      <c r="A581" s="24" t="n"/>
      <c r="B581" s="21" t="n"/>
      <c r="C581" s="21" t="n"/>
      <c r="D581" s="21" t="n"/>
      <c r="E581" s="21" t="n"/>
    </row>
    <row r="582">
      <c r="A582" s="24" t="n"/>
      <c r="B582" s="21" t="n"/>
      <c r="C582" s="21" t="n"/>
      <c r="D582" s="21" t="n"/>
      <c r="E582" s="21" t="n"/>
    </row>
    <row r="583">
      <c r="A583" s="24" t="n"/>
      <c r="B583" s="21" t="n"/>
      <c r="C583" s="21" t="n"/>
      <c r="D583" s="21" t="n"/>
      <c r="E583" s="21" t="n"/>
    </row>
    <row r="584">
      <c r="A584" s="24" t="n"/>
      <c r="B584" s="21" t="n"/>
      <c r="C584" s="21" t="n"/>
      <c r="D584" s="21" t="n"/>
      <c r="E584" s="21" t="n"/>
    </row>
    <row r="585">
      <c r="A585" s="24" t="n"/>
      <c r="B585" s="21" t="n"/>
      <c r="C585" s="21" t="n"/>
      <c r="D585" s="21" t="n"/>
      <c r="E585" s="21" t="n"/>
    </row>
    <row r="586">
      <c r="A586" s="24" t="n"/>
      <c r="B586" s="21" t="n"/>
      <c r="C586" s="21" t="n"/>
      <c r="D586" s="21" t="n"/>
      <c r="E586" s="21" t="n"/>
    </row>
    <row r="587">
      <c r="A587" s="24" t="n"/>
      <c r="B587" s="21" t="n"/>
      <c r="C587" s="21" t="n"/>
      <c r="D587" s="21" t="n"/>
      <c r="E587" s="21" t="n"/>
    </row>
    <row r="588">
      <c r="A588" s="24" t="n"/>
      <c r="B588" s="21" t="n"/>
      <c r="C588" s="21" t="n"/>
      <c r="D588" s="21" t="n"/>
      <c r="E588" s="21" t="n"/>
    </row>
    <row r="589">
      <c r="A589" s="24" t="n"/>
      <c r="B589" s="21" t="n"/>
      <c r="C589" s="21" t="n"/>
      <c r="D589" s="21" t="n"/>
      <c r="E589" s="21" t="n"/>
    </row>
    <row r="590">
      <c r="A590" s="24" t="n"/>
      <c r="B590" s="21" t="n"/>
      <c r="C590" s="21" t="n"/>
      <c r="D590" s="21" t="n"/>
      <c r="E590" s="21" t="n"/>
    </row>
    <row r="591">
      <c r="A591" s="24" t="n"/>
      <c r="B591" s="21" t="n"/>
      <c r="C591" s="21" t="n"/>
      <c r="D591" s="21" t="n"/>
      <c r="E591" s="21" t="n"/>
    </row>
    <row r="592">
      <c r="A592" s="24" t="n"/>
      <c r="B592" s="21" t="n"/>
      <c r="C592" s="21" t="n"/>
      <c r="D592" s="21" t="n"/>
      <c r="E592" s="21" t="n"/>
    </row>
    <row r="593">
      <c r="A593" s="24" t="n"/>
      <c r="B593" s="21" t="n"/>
      <c r="C593" s="21" t="n"/>
      <c r="D593" s="21" t="n"/>
      <c r="E593" s="21" t="n"/>
    </row>
    <row r="594">
      <c r="A594" s="24" t="n"/>
      <c r="B594" s="21" t="n"/>
      <c r="C594" s="21" t="n"/>
      <c r="D594" s="21" t="n"/>
      <c r="E594" s="21" t="n"/>
    </row>
    <row r="595">
      <c r="A595" s="24" t="n"/>
      <c r="B595" s="21" t="n"/>
      <c r="C595" s="21" t="n"/>
      <c r="D595" s="21" t="n"/>
      <c r="E595" s="21" t="n"/>
    </row>
    <row r="596">
      <c r="A596" s="24" t="n"/>
      <c r="B596" s="21" t="n"/>
      <c r="C596" s="21" t="n"/>
      <c r="D596" s="21" t="n"/>
      <c r="E596" s="21" t="n"/>
    </row>
    <row r="597">
      <c r="A597" s="24" t="n"/>
      <c r="B597" s="21" t="n"/>
      <c r="C597" s="21" t="n"/>
      <c r="D597" s="21" t="n"/>
      <c r="E597" s="21" t="n"/>
    </row>
    <row r="598">
      <c r="A598" s="24" t="n"/>
      <c r="B598" s="21" t="n"/>
      <c r="C598" s="21" t="n"/>
      <c r="D598" s="21" t="n"/>
      <c r="E598" s="21" t="n"/>
    </row>
    <row r="599">
      <c r="A599" s="24" t="n"/>
      <c r="B599" s="21" t="n"/>
      <c r="C599" s="21" t="n"/>
      <c r="D599" s="21" t="n"/>
      <c r="E599" s="21" t="n"/>
    </row>
    <row r="600">
      <c r="A600" s="24" t="n"/>
      <c r="B600" s="21" t="n"/>
      <c r="C600" s="21" t="n"/>
      <c r="D600" s="21" t="n"/>
      <c r="E600" s="21" t="n"/>
    </row>
    <row r="601">
      <c r="A601" s="24" t="n"/>
      <c r="B601" s="21" t="n"/>
      <c r="C601" s="21" t="n"/>
      <c r="D601" s="21" t="n"/>
      <c r="E601" s="21" t="n"/>
    </row>
    <row r="602">
      <c r="A602" s="24" t="n"/>
      <c r="B602" s="21" t="n"/>
      <c r="C602" s="21" t="n"/>
      <c r="D602" s="21" t="n"/>
      <c r="E602" s="21" t="n"/>
    </row>
    <row r="603">
      <c r="A603" s="24" t="n"/>
      <c r="B603" s="21" t="n"/>
      <c r="C603" s="21" t="n"/>
      <c r="D603" s="21" t="n"/>
      <c r="E603" s="21" t="n"/>
    </row>
    <row r="604">
      <c r="A604" s="24" t="n"/>
      <c r="B604" s="21" t="n"/>
      <c r="C604" s="21" t="n"/>
      <c r="D604" s="21" t="n"/>
      <c r="E604" s="21" t="n"/>
    </row>
    <row r="605">
      <c r="A605" s="24" t="n"/>
      <c r="B605" s="21" t="n"/>
      <c r="C605" s="21" t="n"/>
      <c r="D605" s="21" t="n"/>
      <c r="E605" s="21" t="n"/>
    </row>
    <row r="606">
      <c r="A606" s="24" t="n"/>
      <c r="B606" s="21" t="n"/>
      <c r="C606" s="21" t="n"/>
      <c r="D606" s="21" t="n"/>
      <c r="E606" s="21" t="n"/>
    </row>
    <row r="607">
      <c r="A607" s="24" t="n"/>
      <c r="B607" s="21" t="n"/>
      <c r="C607" s="21" t="n"/>
      <c r="D607" s="21" t="n"/>
      <c r="E607" s="21" t="n"/>
    </row>
    <row r="608">
      <c r="A608" s="24" t="n"/>
      <c r="B608" s="21" t="n"/>
      <c r="C608" s="21" t="n"/>
      <c r="D608" s="21" t="n"/>
      <c r="E608" s="21" t="n"/>
    </row>
    <row r="609">
      <c r="A609" s="24" t="n"/>
      <c r="B609" s="21" t="n"/>
      <c r="C609" s="21" t="n"/>
      <c r="D609" s="21" t="n"/>
      <c r="E609" s="21" t="n"/>
    </row>
    <row r="610">
      <c r="A610" s="24" t="n"/>
      <c r="B610" s="21" t="n"/>
      <c r="C610" s="21" t="n"/>
      <c r="D610" s="21" t="n"/>
      <c r="E610" s="21" t="n"/>
    </row>
    <row r="611">
      <c r="A611" s="24" t="n"/>
      <c r="B611" s="21" t="n"/>
      <c r="C611" s="21" t="n"/>
      <c r="D611" s="21" t="n"/>
      <c r="E611" s="21" t="n"/>
    </row>
    <row r="612">
      <c r="A612" s="24" t="n"/>
      <c r="B612" s="21" t="n"/>
      <c r="C612" s="21" t="n"/>
      <c r="D612" s="21" t="n"/>
      <c r="E612" s="21" t="n"/>
    </row>
    <row r="613">
      <c r="A613" s="24" t="n"/>
      <c r="B613" s="21" t="n"/>
      <c r="C613" s="21" t="n"/>
      <c r="D613" s="21" t="n"/>
      <c r="E613" s="21" t="n"/>
    </row>
    <row r="614">
      <c r="A614" s="24" t="n"/>
      <c r="B614" s="21" t="n"/>
      <c r="C614" s="21" t="n"/>
      <c r="D614" s="21" t="n"/>
      <c r="E614" s="21" t="n"/>
    </row>
    <row r="615">
      <c r="A615" s="24" t="n"/>
      <c r="B615" s="21" t="n"/>
      <c r="C615" s="21" t="n"/>
      <c r="D615" s="21" t="n"/>
      <c r="E615" s="21" t="n"/>
    </row>
    <row r="616">
      <c r="A616" s="24" t="n"/>
      <c r="B616" s="21" t="n"/>
      <c r="C616" s="21" t="n"/>
      <c r="D616" s="21" t="n"/>
      <c r="E616" s="21" t="n"/>
    </row>
    <row r="617">
      <c r="A617" s="24" t="n"/>
      <c r="B617" s="21" t="n"/>
      <c r="C617" s="21" t="n"/>
      <c r="D617" s="21" t="n"/>
      <c r="E617" s="21" t="n"/>
    </row>
    <row r="618">
      <c r="A618" s="24" t="n"/>
      <c r="B618" s="21" t="n"/>
      <c r="C618" s="21" t="n"/>
      <c r="D618" s="21" t="n"/>
      <c r="E618" s="21" t="n"/>
    </row>
    <row r="619">
      <c r="A619" s="24" t="n"/>
      <c r="B619" s="21" t="n"/>
      <c r="C619" s="21" t="n"/>
      <c r="D619" s="21" t="n"/>
      <c r="E619" s="21" t="n"/>
    </row>
    <row r="620">
      <c r="A620" s="24" t="n"/>
      <c r="B620" s="21" t="n"/>
      <c r="C620" s="21" t="n"/>
      <c r="D620" s="21" t="n"/>
      <c r="E620" s="21" t="n"/>
    </row>
    <row r="621">
      <c r="A621" s="24" t="n"/>
      <c r="B621" s="21" t="n"/>
      <c r="C621" s="21" t="n"/>
      <c r="D621" s="21" t="n"/>
      <c r="E621" s="21" t="n"/>
    </row>
    <row r="622">
      <c r="A622" s="24" t="n"/>
      <c r="B622" s="21" t="n"/>
      <c r="C622" s="21" t="n"/>
      <c r="D622" s="21" t="n"/>
      <c r="E622" s="21" t="n"/>
    </row>
    <row r="623">
      <c r="A623" s="24" t="n"/>
      <c r="B623" s="21" t="n"/>
      <c r="C623" s="21" t="n"/>
      <c r="D623" s="21" t="n"/>
      <c r="E623" s="21" t="n"/>
    </row>
    <row r="624">
      <c r="A624" s="24" t="n"/>
      <c r="B624" s="21" t="n"/>
      <c r="C624" s="21" t="n"/>
      <c r="D624" s="21" t="n"/>
      <c r="E624" s="21" t="n"/>
    </row>
    <row r="625">
      <c r="A625" s="24" t="n"/>
      <c r="B625" s="21" t="n"/>
      <c r="C625" s="21" t="n"/>
      <c r="D625" s="21" t="n"/>
      <c r="E625" s="21" t="n"/>
    </row>
    <row r="626">
      <c r="A626" s="24" t="n"/>
      <c r="B626" s="21" t="n"/>
      <c r="C626" s="21" t="n"/>
      <c r="D626" s="21" t="n"/>
      <c r="E626" s="21" t="n"/>
    </row>
    <row r="627">
      <c r="A627" s="24" t="n"/>
      <c r="B627" s="21" t="n"/>
      <c r="C627" s="21" t="n"/>
      <c r="D627" s="21" t="n"/>
      <c r="E627" s="21" t="n"/>
    </row>
    <row r="628">
      <c r="A628" s="24" t="n"/>
      <c r="B628" s="21" t="n"/>
      <c r="C628" s="21" t="n"/>
      <c r="D628" s="21" t="n"/>
      <c r="E628" s="21" t="n"/>
    </row>
    <row r="629">
      <c r="A629" s="24" t="n"/>
      <c r="B629" s="21" t="n"/>
      <c r="C629" s="21" t="n"/>
      <c r="D629" s="21" t="n"/>
      <c r="E629" s="21" t="n"/>
    </row>
    <row r="630">
      <c r="A630" s="24" t="n"/>
      <c r="B630" s="21" t="n"/>
      <c r="C630" s="21" t="n"/>
      <c r="D630" s="21" t="n"/>
      <c r="E630" s="21" t="n"/>
    </row>
    <row r="631">
      <c r="A631" s="24" t="n"/>
      <c r="B631" s="21" t="n"/>
      <c r="C631" s="21" t="n"/>
      <c r="D631" s="21" t="n"/>
      <c r="E631" s="21" t="n"/>
    </row>
    <row r="632">
      <c r="A632" s="24" t="n"/>
      <c r="B632" s="21" t="n"/>
      <c r="C632" s="21" t="n"/>
      <c r="D632" s="21" t="n"/>
      <c r="E632" s="21" t="n"/>
    </row>
    <row r="633">
      <c r="A633" s="24" t="n"/>
      <c r="B633" s="21" t="n"/>
      <c r="C633" s="21" t="n"/>
      <c r="D633" s="21" t="n"/>
      <c r="E633" s="21" t="n"/>
    </row>
    <row r="634">
      <c r="A634" s="24" t="n"/>
      <c r="B634" s="21" t="n"/>
      <c r="C634" s="21" t="n"/>
      <c r="D634" s="21" t="n"/>
      <c r="E634" s="21" t="n"/>
    </row>
    <row r="635">
      <c r="A635" s="24" t="n"/>
      <c r="B635" s="21" t="n"/>
      <c r="C635" s="21" t="n"/>
      <c r="D635" s="21" t="n"/>
      <c r="E635" s="21" t="n"/>
    </row>
    <row r="636">
      <c r="A636" s="24" t="n"/>
      <c r="B636" s="21" t="n"/>
      <c r="C636" s="21" t="n"/>
      <c r="D636" s="21" t="n"/>
      <c r="E636" s="21" t="n"/>
    </row>
    <row r="637">
      <c r="A637" s="24" t="n"/>
      <c r="B637" s="21" t="n"/>
      <c r="C637" s="21" t="n"/>
      <c r="D637" s="21" t="n"/>
      <c r="E637" s="21" t="n"/>
    </row>
    <row r="638">
      <c r="A638" s="24" t="n"/>
      <c r="B638" s="21" t="n"/>
      <c r="C638" s="21" t="n"/>
      <c r="D638" s="21" t="n"/>
      <c r="E638" s="21" t="n"/>
    </row>
    <row r="639">
      <c r="A639" s="24" t="n"/>
      <c r="B639" s="21" t="n"/>
      <c r="C639" s="21" t="n"/>
      <c r="D639" s="21" t="n"/>
      <c r="E639" s="21" t="n"/>
    </row>
    <row r="640">
      <c r="A640" s="24" t="n"/>
      <c r="B640" s="21" t="n"/>
      <c r="C640" s="21" t="n"/>
      <c r="D640" s="21" t="n"/>
      <c r="E640" s="21" t="n"/>
    </row>
    <row r="641">
      <c r="A641" s="24" t="n"/>
      <c r="B641" s="21" t="n"/>
      <c r="C641" s="21" t="n"/>
      <c r="D641" s="21" t="n"/>
      <c r="E641" s="21" t="n"/>
    </row>
    <row r="642">
      <c r="A642" s="24" t="n"/>
      <c r="B642" s="21" t="n"/>
      <c r="C642" s="21" t="n"/>
      <c r="D642" s="21" t="n"/>
      <c r="E642" s="21" t="n"/>
    </row>
    <row r="643">
      <c r="A643" s="24" t="n"/>
      <c r="B643" s="21" t="n"/>
      <c r="C643" s="21" t="n"/>
      <c r="D643" s="21" t="n"/>
      <c r="E643" s="21" t="n"/>
    </row>
    <row r="644">
      <c r="A644" s="24" t="n"/>
      <c r="B644" s="21" t="n"/>
      <c r="C644" s="21" t="n"/>
      <c r="D644" s="21" t="n"/>
      <c r="E644" s="21" t="n"/>
    </row>
    <row r="645">
      <c r="A645" s="24" t="n"/>
      <c r="B645" s="21" t="n"/>
      <c r="C645" s="21" t="n"/>
      <c r="D645" s="21" t="n"/>
      <c r="E645" s="21" t="n"/>
    </row>
    <row r="646">
      <c r="A646" s="24" t="n"/>
      <c r="B646" s="21" t="n"/>
      <c r="C646" s="21" t="n"/>
      <c r="D646" s="21" t="n"/>
      <c r="E646" s="21" t="n"/>
    </row>
    <row r="647">
      <c r="A647" s="24" t="n"/>
      <c r="B647" s="21" t="n"/>
      <c r="C647" s="21" t="n"/>
      <c r="D647" s="21" t="n"/>
      <c r="E647" s="21" t="n"/>
    </row>
    <row r="648">
      <c r="A648" s="24" t="n"/>
      <c r="B648" s="21" t="n"/>
      <c r="C648" s="21" t="n"/>
      <c r="D648" s="21" t="n"/>
      <c r="E648" s="21" t="n"/>
    </row>
    <row r="649">
      <c r="A649" s="24" t="n"/>
      <c r="B649" s="21" t="n"/>
      <c r="C649" s="21" t="n"/>
      <c r="D649" s="21" t="n"/>
      <c r="E649" s="21" t="n"/>
    </row>
    <row r="650">
      <c r="A650" s="24" t="n"/>
      <c r="B650" s="21" t="n"/>
      <c r="C650" s="21" t="n"/>
      <c r="D650" s="21" t="n"/>
      <c r="E650" s="21" t="n"/>
    </row>
    <row r="651">
      <c r="A651" s="24" t="n"/>
      <c r="B651" s="21" t="n"/>
      <c r="C651" s="21" t="n"/>
      <c r="D651" s="21" t="n"/>
      <c r="E651" s="21" t="n"/>
    </row>
    <row r="652">
      <c r="A652" s="24" t="n"/>
      <c r="B652" s="21" t="n"/>
      <c r="C652" s="21" t="n"/>
      <c r="D652" s="21" t="n"/>
      <c r="E652" s="21" t="n"/>
    </row>
    <row r="653">
      <c r="A653" s="24" t="n"/>
      <c r="B653" s="21" t="n"/>
      <c r="C653" s="21" t="n"/>
      <c r="D653" s="21" t="n"/>
      <c r="E653" s="21" t="n"/>
    </row>
    <row r="654">
      <c r="A654" s="24" t="n"/>
      <c r="B654" s="21" t="n"/>
      <c r="C654" s="21" t="n"/>
      <c r="D654" s="21" t="n"/>
      <c r="E654" s="21" t="n"/>
    </row>
    <row r="655">
      <c r="A655" s="24" t="n"/>
      <c r="B655" s="21" t="n"/>
      <c r="C655" s="21" t="n"/>
      <c r="D655" s="21" t="n"/>
      <c r="E655" s="21" t="n"/>
    </row>
    <row r="656">
      <c r="A656" s="24" t="n"/>
      <c r="B656" s="21" t="n"/>
      <c r="C656" s="21" t="n"/>
      <c r="D656" s="21" t="n"/>
      <c r="E656" s="21" t="n"/>
    </row>
    <row r="657">
      <c r="A657" s="24" t="n"/>
      <c r="B657" s="21" t="n"/>
      <c r="C657" s="21" t="n"/>
      <c r="D657" s="21" t="n"/>
      <c r="E657" s="21" t="n"/>
    </row>
    <row r="658">
      <c r="A658" s="24" t="n"/>
      <c r="B658" s="21" t="n"/>
      <c r="C658" s="21" t="n"/>
      <c r="D658" s="21" t="n"/>
      <c r="E658" s="21" t="n"/>
    </row>
    <row r="659">
      <c r="A659" s="24" t="n"/>
      <c r="B659" s="21" t="n"/>
      <c r="C659" s="21" t="n"/>
      <c r="D659" s="21" t="n"/>
      <c r="E659" s="21" t="n"/>
    </row>
    <row r="660">
      <c r="A660" s="24" t="n"/>
      <c r="B660" s="21" t="n"/>
      <c r="C660" s="21" t="n"/>
      <c r="D660" s="21" t="n"/>
      <c r="E660" s="21" t="n"/>
    </row>
    <row r="661">
      <c r="A661" s="24" t="n"/>
      <c r="B661" s="21" t="n"/>
      <c r="C661" s="21" t="n"/>
      <c r="D661" s="21" t="n"/>
      <c r="E661" s="21" t="n"/>
    </row>
    <row r="662">
      <c r="A662" s="24" t="n"/>
      <c r="B662" s="21" t="n"/>
      <c r="C662" s="21" t="n"/>
      <c r="D662" s="21" t="n"/>
      <c r="E662" s="21" t="n"/>
    </row>
    <row r="663">
      <c r="A663" s="24" t="n"/>
      <c r="B663" s="21" t="n"/>
      <c r="C663" s="21" t="n"/>
      <c r="D663" s="21" t="n"/>
      <c r="E663" s="21" t="n"/>
    </row>
    <row r="664">
      <c r="A664" s="24" t="n"/>
      <c r="B664" s="21" t="n"/>
      <c r="C664" s="21" t="n"/>
      <c r="D664" s="21" t="n"/>
      <c r="E664" s="21" t="n"/>
    </row>
    <row r="665">
      <c r="A665" s="24" t="n"/>
      <c r="B665" s="21" t="n"/>
      <c r="C665" s="21" t="n"/>
      <c r="D665" s="21" t="n"/>
      <c r="E665" s="21" t="n"/>
    </row>
    <row r="666">
      <c r="A666" s="24" t="n"/>
      <c r="B666" s="21" t="n"/>
      <c r="C666" s="21" t="n"/>
      <c r="D666" s="21" t="n"/>
      <c r="E666" s="21" t="n"/>
    </row>
    <row r="667">
      <c r="A667" s="24" t="n"/>
      <c r="B667" s="21" t="n"/>
      <c r="C667" s="21" t="n"/>
      <c r="D667" s="21" t="n"/>
      <c r="E667" s="21" t="n"/>
    </row>
    <row r="668">
      <c r="A668" s="24" t="n"/>
      <c r="B668" s="21" t="n"/>
      <c r="C668" s="21" t="n"/>
      <c r="D668" s="21" t="n"/>
      <c r="E668" s="21" t="n"/>
    </row>
    <row r="669">
      <c r="A669" s="24" t="n"/>
      <c r="B669" s="21" t="n"/>
      <c r="C669" s="21" t="n"/>
      <c r="D669" s="21" t="n"/>
      <c r="E669" s="21" t="n"/>
    </row>
    <row r="670">
      <c r="A670" s="24" t="n"/>
      <c r="B670" s="21" t="n"/>
      <c r="C670" s="21" t="n"/>
      <c r="D670" s="21" t="n"/>
      <c r="E670" s="21" t="n"/>
    </row>
    <row r="671">
      <c r="A671" s="24" t="n"/>
      <c r="B671" s="21" t="n"/>
      <c r="C671" s="21" t="n"/>
      <c r="D671" s="21" t="n"/>
      <c r="E671" s="21" t="n"/>
    </row>
    <row r="672">
      <c r="A672" s="24" t="n"/>
      <c r="B672" s="21" t="n"/>
      <c r="C672" s="21" t="n"/>
      <c r="D672" s="21" t="n"/>
      <c r="E672" s="21" t="n"/>
    </row>
    <row r="673">
      <c r="A673" s="24" t="n"/>
      <c r="B673" s="21" t="n"/>
      <c r="C673" s="21" t="n"/>
      <c r="D673" s="21" t="n"/>
      <c r="E673" s="21" t="n"/>
    </row>
    <row r="674">
      <c r="A674" s="24" t="n"/>
      <c r="B674" s="21" t="n"/>
      <c r="C674" s="21" t="n"/>
      <c r="D674" s="21" t="n"/>
      <c r="E674" s="21" t="n"/>
    </row>
    <row r="675">
      <c r="A675" s="24" t="n"/>
      <c r="B675" s="21" t="n"/>
      <c r="C675" s="21" t="n"/>
      <c r="D675" s="21" t="n"/>
      <c r="E675" s="21" t="n"/>
    </row>
    <row r="676">
      <c r="A676" s="24" t="n"/>
      <c r="B676" s="21" t="n"/>
      <c r="C676" s="21" t="n"/>
      <c r="D676" s="21" t="n"/>
      <c r="E676" s="21" t="n"/>
    </row>
    <row r="677">
      <c r="A677" s="24" t="n"/>
      <c r="B677" s="21" t="n"/>
      <c r="C677" s="21" t="n"/>
      <c r="D677" s="21" t="n"/>
      <c r="E677" s="21" t="n"/>
    </row>
    <row r="678">
      <c r="A678" s="24" t="n"/>
      <c r="B678" s="21" t="n"/>
      <c r="C678" s="21" t="n"/>
      <c r="D678" s="21" t="n"/>
      <c r="E678" s="21" t="n"/>
    </row>
    <row r="679">
      <c r="A679" s="24" t="n"/>
      <c r="B679" s="21" t="n"/>
      <c r="C679" s="21" t="n"/>
      <c r="D679" s="21" t="n"/>
      <c r="E679" s="21" t="n"/>
    </row>
    <row r="680">
      <c r="A680" s="24" t="n"/>
      <c r="B680" s="21" t="n"/>
      <c r="C680" s="21" t="n"/>
      <c r="D680" s="21" t="n"/>
      <c r="E680" s="21" t="n"/>
    </row>
    <row r="681">
      <c r="A681" s="24" t="n"/>
      <c r="B681" s="21" t="n"/>
      <c r="C681" s="21" t="n"/>
      <c r="D681" s="21" t="n"/>
      <c r="E681" s="21" t="n"/>
    </row>
    <row r="682">
      <c r="A682" s="24" t="n"/>
      <c r="B682" s="21" t="n"/>
      <c r="C682" s="21" t="n"/>
      <c r="D682" s="21" t="n"/>
      <c r="E682" s="21" t="n"/>
    </row>
    <row r="683">
      <c r="A683" s="24" t="n"/>
      <c r="B683" s="21" t="n"/>
      <c r="C683" s="21" t="n"/>
      <c r="D683" s="21" t="n"/>
      <c r="E683" s="21" t="n"/>
    </row>
    <row r="684">
      <c r="A684" s="24" t="n"/>
      <c r="B684" s="21" t="n"/>
      <c r="C684" s="21" t="n"/>
      <c r="D684" s="21" t="n"/>
      <c r="E684" s="21" t="n"/>
    </row>
    <row r="685">
      <c r="A685" s="24" t="n"/>
      <c r="B685" s="21" t="n"/>
      <c r="C685" s="21" t="n"/>
      <c r="D685" s="21" t="n"/>
      <c r="E685" s="21" t="n"/>
    </row>
    <row r="686">
      <c r="A686" s="24" t="n"/>
      <c r="B686" s="21" t="n"/>
      <c r="C686" s="21" t="n"/>
      <c r="D686" s="21" t="n"/>
      <c r="E686" s="21" t="n"/>
    </row>
    <row r="687">
      <c r="A687" s="24" t="n"/>
      <c r="B687" s="21" t="n"/>
      <c r="C687" s="21" t="n"/>
      <c r="D687" s="21" t="n"/>
      <c r="E687" s="21" t="n"/>
    </row>
    <row r="688">
      <c r="A688" s="24" t="n"/>
      <c r="B688" s="21" t="n"/>
      <c r="C688" s="21" t="n"/>
      <c r="D688" s="21" t="n"/>
      <c r="E688" s="21" t="n"/>
    </row>
    <row r="689">
      <c r="A689" s="24" t="n"/>
      <c r="B689" s="21" t="n"/>
      <c r="C689" s="21" t="n"/>
      <c r="D689" s="21" t="n"/>
      <c r="E689" s="21" t="n"/>
    </row>
    <row r="690">
      <c r="A690" s="24" t="n"/>
      <c r="B690" s="21" t="n"/>
      <c r="C690" s="21" t="n"/>
      <c r="D690" s="21" t="n"/>
      <c r="E690" s="21" t="n"/>
    </row>
    <row r="691">
      <c r="A691" s="24" t="n"/>
      <c r="B691" s="21" t="n"/>
      <c r="C691" s="21" t="n"/>
      <c r="D691" s="21" t="n"/>
      <c r="E691" s="21" t="n"/>
    </row>
    <row r="692">
      <c r="A692" s="24" t="n"/>
      <c r="B692" s="21" t="n"/>
      <c r="C692" s="21" t="n"/>
      <c r="D692" s="21" t="n"/>
      <c r="E692" s="21" t="n"/>
    </row>
    <row r="693">
      <c r="A693" s="24" t="n"/>
      <c r="B693" s="21" t="n"/>
      <c r="C693" s="21" t="n"/>
      <c r="D693" s="21" t="n"/>
      <c r="E693" s="21" t="n"/>
    </row>
    <row r="694">
      <c r="A694" s="24" t="n"/>
      <c r="B694" s="21" t="n"/>
      <c r="C694" s="21" t="n"/>
      <c r="D694" s="21" t="n"/>
      <c r="E694" s="21" t="n"/>
    </row>
    <row r="695">
      <c r="A695" s="24" t="n"/>
      <c r="B695" s="21" t="n"/>
      <c r="C695" s="21" t="n"/>
      <c r="D695" s="21" t="n"/>
      <c r="E695" s="21" t="n"/>
    </row>
    <row r="696">
      <c r="A696" s="24" t="n"/>
      <c r="B696" s="21" t="n"/>
      <c r="C696" s="21" t="n"/>
      <c r="D696" s="21" t="n"/>
      <c r="E696" s="21" t="n"/>
    </row>
    <row r="697">
      <c r="A697" s="24" t="n"/>
      <c r="B697" s="21" t="n"/>
      <c r="C697" s="21" t="n"/>
      <c r="D697" s="21" t="n"/>
      <c r="E697" s="21" t="n"/>
    </row>
    <row r="698">
      <c r="A698" s="24" t="n"/>
      <c r="B698" s="21" t="n"/>
      <c r="C698" s="21" t="n"/>
      <c r="D698" s="21" t="n"/>
      <c r="E698" s="21" t="n"/>
    </row>
    <row r="699">
      <c r="A699" s="24" t="n"/>
      <c r="B699" s="21" t="n"/>
      <c r="C699" s="21" t="n"/>
      <c r="D699" s="21" t="n"/>
      <c r="E699" s="21" t="n"/>
    </row>
    <row r="700">
      <c r="A700" s="24" t="n"/>
      <c r="B700" s="21" t="n"/>
      <c r="C700" s="21" t="n"/>
      <c r="D700" s="21" t="n"/>
      <c r="E700" s="21" t="n"/>
    </row>
    <row r="701">
      <c r="A701" s="24" t="n"/>
      <c r="B701" s="21" t="n"/>
      <c r="C701" s="21" t="n"/>
      <c r="D701" s="21" t="n"/>
      <c r="E701" s="21" t="n"/>
    </row>
    <row r="702">
      <c r="A702" s="24" t="n"/>
      <c r="B702" s="21" t="n"/>
      <c r="C702" s="21" t="n"/>
      <c r="D702" s="21" t="n"/>
      <c r="E702" s="21" t="n"/>
    </row>
    <row r="703">
      <c r="A703" s="24" t="n"/>
      <c r="B703" s="21" t="n"/>
      <c r="C703" s="21" t="n"/>
      <c r="D703" s="21" t="n"/>
      <c r="E703" s="21" t="n"/>
    </row>
    <row r="704">
      <c r="A704" s="24" t="n"/>
      <c r="B704" s="21" t="n"/>
      <c r="C704" s="21" t="n"/>
      <c r="D704" s="21" t="n"/>
      <c r="E704" s="21" t="n"/>
    </row>
    <row r="705">
      <c r="A705" s="24" t="n"/>
      <c r="B705" s="21" t="n"/>
      <c r="C705" s="21" t="n"/>
      <c r="D705" s="21" t="n"/>
      <c r="E705" s="21" t="n"/>
    </row>
    <row r="706">
      <c r="A706" s="24" t="n"/>
      <c r="B706" s="21" t="n"/>
      <c r="C706" s="21" t="n"/>
      <c r="D706" s="21" t="n"/>
      <c r="E706" s="21" t="n"/>
    </row>
    <row r="707">
      <c r="A707" s="24" t="n"/>
      <c r="B707" s="21" t="n"/>
      <c r="C707" s="21" t="n"/>
      <c r="D707" s="21" t="n"/>
      <c r="E707" s="21" t="n"/>
    </row>
    <row r="708">
      <c r="A708" s="24" t="n"/>
      <c r="B708" s="21" t="n"/>
      <c r="C708" s="21" t="n"/>
      <c r="D708" s="21" t="n"/>
      <c r="E708" s="21" t="n"/>
    </row>
    <row r="709">
      <c r="A709" s="24" t="n"/>
      <c r="B709" s="21" t="n"/>
      <c r="C709" s="21" t="n"/>
      <c r="D709" s="21" t="n"/>
      <c r="E709" s="21" t="n"/>
    </row>
    <row r="710">
      <c r="A710" s="24" t="n"/>
      <c r="B710" s="21" t="n"/>
      <c r="C710" s="21" t="n"/>
      <c r="D710" s="21" t="n"/>
      <c r="E710" s="21" t="n"/>
    </row>
    <row r="711">
      <c r="A711" s="24" t="n"/>
      <c r="B711" s="21" t="n"/>
      <c r="C711" s="21" t="n"/>
      <c r="D711" s="21" t="n"/>
      <c r="E711" s="21" t="n"/>
    </row>
    <row r="712">
      <c r="A712" s="24" t="n"/>
      <c r="B712" s="21" t="n"/>
      <c r="C712" s="21" t="n"/>
      <c r="D712" s="21" t="n"/>
      <c r="E712" s="21" t="n"/>
    </row>
    <row r="713">
      <c r="A713" s="24" t="n"/>
      <c r="B713" s="21" t="n"/>
      <c r="C713" s="21" t="n"/>
      <c r="D713" s="21" t="n"/>
      <c r="E713" s="21" t="n"/>
    </row>
    <row r="714">
      <c r="A714" s="24" t="n"/>
      <c r="B714" s="21" t="n"/>
      <c r="C714" s="21" t="n"/>
      <c r="D714" s="21" t="n"/>
      <c r="E714" s="21" t="n"/>
    </row>
    <row r="715">
      <c r="A715" s="24" t="n"/>
      <c r="B715" s="21" t="n"/>
      <c r="C715" s="21" t="n"/>
      <c r="D715" s="21" t="n"/>
      <c r="E715" s="21" t="n"/>
    </row>
    <row r="716">
      <c r="A716" s="24" t="n"/>
      <c r="B716" s="21" t="n"/>
      <c r="C716" s="21" t="n"/>
      <c r="D716" s="21" t="n"/>
      <c r="E716" s="21" t="n"/>
    </row>
    <row r="717">
      <c r="A717" s="24" t="n"/>
      <c r="B717" s="21" t="n"/>
      <c r="C717" s="21" t="n"/>
      <c r="D717" s="21" t="n"/>
      <c r="E717" s="21" t="n"/>
    </row>
    <row r="718">
      <c r="A718" s="24" t="n"/>
      <c r="B718" s="21" t="n"/>
      <c r="C718" s="21" t="n"/>
      <c r="D718" s="21" t="n"/>
      <c r="E718" s="21" t="n"/>
    </row>
    <row r="719">
      <c r="A719" s="24" t="n"/>
      <c r="B719" s="21" t="n"/>
      <c r="C719" s="21" t="n"/>
      <c r="D719" s="21" t="n"/>
      <c r="E719" s="21" t="n"/>
    </row>
    <row r="720">
      <c r="A720" s="24" t="n"/>
      <c r="B720" s="21" t="n"/>
      <c r="C720" s="21" t="n"/>
      <c r="D720" s="21" t="n"/>
      <c r="E720" s="21" t="n"/>
    </row>
    <row r="721">
      <c r="A721" s="24" t="n"/>
      <c r="B721" s="21" t="n"/>
      <c r="C721" s="21" t="n"/>
      <c r="D721" s="21" t="n"/>
      <c r="E721" s="21" t="n"/>
    </row>
    <row r="722">
      <c r="A722" s="24" t="n"/>
      <c r="B722" s="21" t="n"/>
      <c r="C722" s="21" t="n"/>
      <c r="D722" s="21" t="n"/>
      <c r="E722" s="21" t="n"/>
    </row>
    <row r="723">
      <c r="A723" s="24" t="n"/>
      <c r="B723" s="21" t="n"/>
      <c r="C723" s="21" t="n"/>
      <c r="D723" s="21" t="n"/>
      <c r="E723" s="21" t="n"/>
    </row>
    <row r="724">
      <c r="A724" s="24" t="n"/>
      <c r="B724" s="21" t="n"/>
      <c r="C724" s="21" t="n"/>
      <c r="D724" s="21" t="n"/>
      <c r="E724" s="21" t="n"/>
    </row>
    <row r="725">
      <c r="A725" s="24" t="n"/>
      <c r="B725" s="21" t="n"/>
      <c r="C725" s="21" t="n"/>
      <c r="D725" s="21" t="n"/>
      <c r="E725" s="21" t="n"/>
    </row>
    <row r="726">
      <c r="A726" s="24" t="n"/>
      <c r="B726" s="21" t="n"/>
      <c r="C726" s="21" t="n"/>
      <c r="D726" s="21" t="n"/>
      <c r="E726" s="21" t="n"/>
    </row>
    <row r="727">
      <c r="A727" s="24" t="n"/>
      <c r="B727" s="21" t="n"/>
      <c r="C727" s="21" t="n"/>
      <c r="D727" s="21" t="n"/>
      <c r="E727" s="21" t="n"/>
    </row>
    <row r="728">
      <c r="A728" s="24" t="n"/>
      <c r="B728" s="21" t="n"/>
      <c r="C728" s="21" t="n"/>
      <c r="D728" s="21" t="n"/>
      <c r="E728" s="21" t="n"/>
    </row>
    <row r="729">
      <c r="A729" s="24" t="n"/>
      <c r="B729" s="21" t="n"/>
      <c r="C729" s="21" t="n"/>
      <c r="D729" s="21" t="n"/>
      <c r="E729" s="21" t="n"/>
    </row>
    <row r="730">
      <c r="A730" s="24" t="n"/>
      <c r="B730" s="21" t="n"/>
      <c r="C730" s="21" t="n"/>
      <c r="D730" s="21" t="n"/>
      <c r="E730" s="21" t="n"/>
    </row>
    <row r="731">
      <c r="A731" s="24" t="n"/>
      <c r="B731" s="21" t="n"/>
      <c r="C731" s="21" t="n"/>
      <c r="D731" s="21" t="n"/>
      <c r="E731" s="21" t="n"/>
    </row>
    <row r="732">
      <c r="A732" s="24" t="n"/>
      <c r="B732" s="21" t="n"/>
      <c r="C732" s="21" t="n"/>
      <c r="D732" s="21" t="n"/>
      <c r="E732" s="21" t="n"/>
    </row>
    <row r="733">
      <c r="A733" s="24" t="n"/>
      <c r="B733" s="21" t="n"/>
      <c r="C733" s="21" t="n"/>
      <c r="D733" s="21" t="n"/>
      <c r="E733" s="21" t="n"/>
    </row>
    <row r="734">
      <c r="A734" s="24" t="n"/>
      <c r="B734" s="21" t="n"/>
      <c r="C734" s="21" t="n"/>
      <c r="D734" s="21" t="n"/>
      <c r="E734" s="21" t="n"/>
    </row>
    <row r="735">
      <c r="A735" s="24" t="n"/>
      <c r="B735" s="21" t="n"/>
      <c r="C735" s="21" t="n"/>
      <c r="D735" s="21" t="n"/>
      <c r="E735" s="21" t="n"/>
    </row>
    <row r="736">
      <c r="A736" s="24" t="n"/>
      <c r="B736" s="21" t="n"/>
      <c r="C736" s="21" t="n"/>
      <c r="D736" s="21" t="n"/>
      <c r="E736" s="21" t="n"/>
    </row>
    <row r="737">
      <c r="A737" s="24" t="n"/>
      <c r="B737" s="21" t="n"/>
      <c r="C737" s="21" t="n"/>
      <c r="D737" s="21" t="n"/>
      <c r="E737" s="21" t="n"/>
    </row>
    <row r="738">
      <c r="A738" s="24" t="n"/>
      <c r="B738" s="21" t="n"/>
      <c r="C738" s="21" t="n"/>
      <c r="D738" s="21" t="n"/>
      <c r="E738" s="21" t="n"/>
    </row>
    <row r="739">
      <c r="A739" s="24" t="n"/>
      <c r="B739" s="21" t="n"/>
      <c r="C739" s="21" t="n"/>
      <c r="D739" s="21" t="n"/>
      <c r="E739" s="21" t="n"/>
    </row>
    <row r="740">
      <c r="A740" s="24" t="n"/>
      <c r="B740" s="21" t="n"/>
      <c r="C740" s="21" t="n"/>
      <c r="D740" s="21" t="n"/>
      <c r="E740" s="21" t="n"/>
    </row>
    <row r="741">
      <c r="A741" s="24" t="n"/>
      <c r="B741" s="21" t="n"/>
      <c r="C741" s="21" t="n"/>
      <c r="D741" s="21" t="n"/>
      <c r="E741" s="21" t="n"/>
    </row>
    <row r="742">
      <c r="A742" s="24" t="n"/>
      <c r="B742" s="21" t="n"/>
      <c r="C742" s="21" t="n"/>
      <c r="D742" s="21" t="n"/>
      <c r="E742" s="21" t="n"/>
    </row>
    <row r="743">
      <c r="A743" s="24" t="n"/>
      <c r="B743" s="21" t="n"/>
      <c r="C743" s="21" t="n"/>
      <c r="D743" s="21" t="n"/>
      <c r="E743" s="21" t="n"/>
    </row>
    <row r="744">
      <c r="A744" s="24" t="n"/>
      <c r="B744" s="21" t="n"/>
      <c r="C744" s="21" t="n"/>
      <c r="D744" s="21" t="n"/>
      <c r="E744" s="21" t="n"/>
    </row>
    <row r="745">
      <c r="A745" s="24" t="n"/>
      <c r="B745" s="21" t="n"/>
      <c r="C745" s="21" t="n"/>
      <c r="D745" s="21" t="n"/>
      <c r="E745" s="21" t="n"/>
    </row>
    <row r="746">
      <c r="A746" s="24" t="n"/>
      <c r="B746" s="21" t="n"/>
      <c r="C746" s="21" t="n"/>
      <c r="D746" s="21" t="n"/>
      <c r="E746" s="21" t="n"/>
    </row>
    <row r="747">
      <c r="A747" s="24" t="n"/>
      <c r="B747" s="21" t="n"/>
      <c r="C747" s="21" t="n"/>
      <c r="D747" s="21" t="n"/>
      <c r="E747" s="21" t="n"/>
    </row>
    <row r="748">
      <c r="A748" s="24" t="n"/>
      <c r="B748" s="21" t="n"/>
      <c r="C748" s="21" t="n"/>
      <c r="D748" s="21" t="n"/>
      <c r="E748" s="21" t="n"/>
    </row>
    <row r="749">
      <c r="A749" s="24" t="n"/>
      <c r="B749" s="21" t="n"/>
      <c r="C749" s="21" t="n"/>
      <c r="D749" s="21" t="n"/>
      <c r="E749" s="21" t="n"/>
    </row>
    <row r="750">
      <c r="A750" s="24" t="n"/>
      <c r="B750" s="21" t="n"/>
      <c r="C750" s="21" t="n"/>
      <c r="D750" s="21" t="n"/>
      <c r="E750" s="21" t="n"/>
    </row>
    <row r="751">
      <c r="A751" s="24" t="n"/>
      <c r="B751" s="21" t="n"/>
      <c r="C751" s="21" t="n"/>
      <c r="D751" s="21" t="n"/>
      <c r="E751" s="21" t="n"/>
    </row>
    <row r="752">
      <c r="A752" s="24" t="n"/>
      <c r="B752" s="21" t="n"/>
      <c r="C752" s="21" t="n"/>
      <c r="D752" s="21" t="n"/>
      <c r="E752" s="21" t="n"/>
    </row>
    <row r="753">
      <c r="A753" s="24" t="n"/>
      <c r="B753" s="21" t="n"/>
      <c r="C753" s="21" t="n"/>
      <c r="D753" s="21" t="n"/>
      <c r="E753" s="21" t="n"/>
    </row>
    <row r="754">
      <c r="A754" s="24" t="n"/>
      <c r="B754" s="21" t="n"/>
      <c r="C754" s="21" t="n"/>
      <c r="D754" s="21" t="n"/>
      <c r="E754" s="21" t="n"/>
    </row>
    <row r="755">
      <c r="A755" s="24" t="n"/>
      <c r="B755" s="21" t="n"/>
      <c r="C755" s="21" t="n"/>
      <c r="D755" s="21" t="n"/>
      <c r="E755" s="21" t="n"/>
    </row>
    <row r="756">
      <c r="A756" s="24" t="n"/>
      <c r="B756" s="21" t="n"/>
      <c r="C756" s="21" t="n"/>
      <c r="D756" s="21" t="n"/>
      <c r="E756" s="21" t="n"/>
    </row>
    <row r="757">
      <c r="A757" s="24" t="n"/>
      <c r="B757" s="21" t="n"/>
      <c r="C757" s="21" t="n"/>
      <c r="D757" s="21" t="n"/>
      <c r="E757" s="21" t="n"/>
    </row>
    <row r="758">
      <c r="A758" s="24" t="n"/>
      <c r="B758" s="21" t="n"/>
      <c r="C758" s="21" t="n"/>
      <c r="D758" s="21" t="n"/>
      <c r="E758" s="21" t="n"/>
    </row>
    <row r="759">
      <c r="A759" s="24" t="n"/>
      <c r="B759" s="21" t="n"/>
      <c r="C759" s="21" t="n"/>
      <c r="D759" s="21" t="n"/>
      <c r="E759" s="21" t="n"/>
    </row>
    <row r="760">
      <c r="A760" s="24" t="n"/>
      <c r="B760" s="21" t="n"/>
      <c r="C760" s="21" t="n"/>
      <c r="D760" s="21" t="n"/>
      <c r="E760" s="21" t="n"/>
    </row>
    <row r="761">
      <c r="A761" s="24" t="n"/>
      <c r="B761" s="21" t="n"/>
      <c r="C761" s="21" t="n"/>
      <c r="D761" s="21" t="n"/>
      <c r="E761" s="21" t="n"/>
    </row>
    <row r="762">
      <c r="A762" s="24" t="n"/>
      <c r="B762" s="21" t="n"/>
      <c r="C762" s="21" t="n"/>
      <c r="D762" s="21" t="n"/>
      <c r="E762" s="21" t="n"/>
    </row>
    <row r="763">
      <c r="A763" s="24" t="n"/>
      <c r="B763" s="21" t="n"/>
      <c r="C763" s="21" t="n"/>
      <c r="D763" s="21" t="n"/>
      <c r="E763" s="21" t="n"/>
    </row>
    <row r="764">
      <c r="A764" s="24" t="n"/>
      <c r="B764" s="21" t="n"/>
      <c r="C764" s="21" t="n"/>
      <c r="D764" s="21" t="n"/>
      <c r="E764" s="21" t="n"/>
    </row>
    <row r="765">
      <c r="A765" s="24" t="n"/>
      <c r="B765" s="21" t="n"/>
      <c r="C765" s="21" t="n"/>
      <c r="D765" s="21" t="n"/>
      <c r="E765" s="21" t="n"/>
    </row>
    <row r="766">
      <c r="A766" s="24" t="n"/>
      <c r="B766" s="21" t="n"/>
      <c r="C766" s="21" t="n"/>
      <c r="D766" s="21" t="n"/>
      <c r="E766" s="21" t="n"/>
    </row>
    <row r="767">
      <c r="A767" s="24" t="n"/>
      <c r="B767" s="21" t="n"/>
      <c r="C767" s="21" t="n"/>
      <c r="D767" s="21" t="n"/>
      <c r="E767" s="21" t="n"/>
    </row>
    <row r="768">
      <c r="A768" s="24" t="n"/>
      <c r="B768" s="21" t="n"/>
      <c r="C768" s="21" t="n"/>
      <c r="D768" s="21" t="n"/>
      <c r="E768" s="21" t="n"/>
    </row>
    <row r="769">
      <c r="A769" s="24" t="n"/>
      <c r="B769" s="21" t="n"/>
      <c r="C769" s="21" t="n"/>
      <c r="D769" s="21" t="n"/>
      <c r="E769" s="21" t="n"/>
    </row>
    <row r="770">
      <c r="A770" s="24" t="n"/>
      <c r="B770" s="21" t="n"/>
      <c r="C770" s="21" t="n"/>
      <c r="D770" s="21" t="n"/>
      <c r="E770" s="21" t="n"/>
    </row>
    <row r="771">
      <c r="A771" s="24" t="n"/>
      <c r="B771" s="21" t="n"/>
      <c r="C771" s="21" t="n"/>
      <c r="D771" s="21" t="n"/>
      <c r="E771" s="21" t="n"/>
    </row>
    <row r="772">
      <c r="A772" s="24" t="n"/>
      <c r="B772" s="21" t="n"/>
      <c r="C772" s="21" t="n"/>
      <c r="D772" s="21" t="n"/>
      <c r="E772" s="21" t="n"/>
    </row>
    <row r="773">
      <c r="A773" s="24" t="n"/>
      <c r="B773" s="21" t="n"/>
      <c r="C773" s="21" t="n"/>
      <c r="D773" s="21" t="n"/>
      <c r="E773" s="21" t="n"/>
    </row>
    <row r="774">
      <c r="A774" s="24" t="n"/>
      <c r="B774" s="21" t="n"/>
      <c r="C774" s="21" t="n"/>
      <c r="D774" s="21" t="n"/>
      <c r="E774" s="21" t="n"/>
    </row>
    <row r="775">
      <c r="A775" s="24" t="n"/>
      <c r="B775" s="21" t="n"/>
      <c r="C775" s="21" t="n"/>
      <c r="D775" s="21" t="n"/>
      <c r="E775" s="21" t="n"/>
    </row>
    <row r="776">
      <c r="A776" s="24" t="n"/>
      <c r="B776" s="21" t="n"/>
      <c r="C776" s="21" t="n"/>
      <c r="D776" s="21" t="n"/>
      <c r="E776" s="21" t="n"/>
    </row>
    <row r="777">
      <c r="A777" s="24" t="n"/>
      <c r="B777" s="21" t="n"/>
      <c r="C777" s="21" t="n"/>
      <c r="D777" s="21" t="n"/>
      <c r="E777" s="21" t="n"/>
    </row>
    <row r="778">
      <c r="A778" s="24" t="n"/>
      <c r="B778" s="21" t="n"/>
      <c r="C778" s="21" t="n"/>
      <c r="D778" s="21" t="n"/>
      <c r="E778" s="21" t="n"/>
    </row>
    <row r="779">
      <c r="A779" s="24" t="n"/>
      <c r="B779" s="21" t="n"/>
      <c r="C779" s="21" t="n"/>
      <c r="D779" s="21" t="n"/>
      <c r="E779" s="21" t="n"/>
    </row>
    <row r="780">
      <c r="A780" s="24" t="n"/>
      <c r="B780" s="21" t="n"/>
      <c r="C780" s="21" t="n"/>
      <c r="D780" s="21" t="n"/>
      <c r="E780" s="21" t="n"/>
    </row>
    <row r="781">
      <c r="A781" s="24" t="n"/>
      <c r="B781" s="21" t="n"/>
      <c r="C781" s="21" t="n"/>
      <c r="D781" s="21" t="n"/>
      <c r="E781" s="21" t="n"/>
    </row>
    <row r="782">
      <c r="A782" s="24" t="n"/>
      <c r="B782" s="21" t="n"/>
      <c r="C782" s="21" t="n"/>
      <c r="D782" s="21" t="n"/>
      <c r="E782" s="21" t="n"/>
    </row>
    <row r="783">
      <c r="A783" s="24" t="n"/>
      <c r="B783" s="21" t="n"/>
      <c r="C783" s="21" t="n"/>
      <c r="D783" s="21" t="n"/>
      <c r="E783" s="21" t="n"/>
    </row>
    <row r="784">
      <c r="A784" s="24" t="n"/>
      <c r="B784" s="21" t="n"/>
      <c r="C784" s="21" t="n"/>
      <c r="D784" s="21" t="n"/>
      <c r="E784" s="21" t="n"/>
    </row>
    <row r="785">
      <c r="A785" s="24" t="n"/>
      <c r="B785" s="21" t="n"/>
      <c r="C785" s="21" t="n"/>
      <c r="D785" s="21" t="n"/>
      <c r="E785" s="21" t="n"/>
    </row>
    <row r="786">
      <c r="A786" s="24" t="n"/>
      <c r="B786" s="21" t="n"/>
      <c r="C786" s="21" t="n"/>
      <c r="D786" s="21" t="n"/>
      <c r="E786" s="21" t="n"/>
    </row>
    <row r="787">
      <c r="A787" s="24" t="n"/>
      <c r="B787" s="21" t="n"/>
      <c r="C787" s="21" t="n"/>
      <c r="D787" s="21" t="n"/>
      <c r="E787" s="21" t="n"/>
    </row>
    <row r="788">
      <c r="A788" s="24" t="n"/>
      <c r="B788" s="21" t="n"/>
      <c r="C788" s="21" t="n"/>
      <c r="D788" s="21" t="n"/>
      <c r="E788" s="21" t="n"/>
    </row>
    <row r="789">
      <c r="A789" s="24" t="n"/>
      <c r="B789" s="21" t="n"/>
      <c r="C789" s="21" t="n"/>
      <c r="D789" s="21" t="n"/>
      <c r="E789" s="21" t="n"/>
    </row>
    <row r="790">
      <c r="A790" s="24" t="n"/>
      <c r="B790" s="21" t="n"/>
      <c r="C790" s="21" t="n"/>
      <c r="D790" s="21" t="n"/>
      <c r="E790" s="21" t="n"/>
    </row>
    <row r="791">
      <c r="A791" s="24" t="n"/>
      <c r="B791" s="21" t="n"/>
      <c r="C791" s="21" t="n"/>
      <c r="D791" s="21" t="n"/>
      <c r="E791" s="21" t="n"/>
    </row>
    <row r="792">
      <c r="A792" s="24" t="n"/>
      <c r="B792" s="21" t="n"/>
      <c r="C792" s="21" t="n"/>
      <c r="D792" s="21" t="n"/>
      <c r="E792" s="21" t="n"/>
    </row>
    <row r="793">
      <c r="A793" s="24" t="n"/>
      <c r="B793" s="21" t="n"/>
      <c r="C793" s="21" t="n"/>
      <c r="D793" s="21" t="n"/>
      <c r="E793" s="21" t="n"/>
    </row>
    <row r="794">
      <c r="A794" s="24" t="n"/>
      <c r="B794" s="21" t="n"/>
      <c r="C794" s="21" t="n"/>
      <c r="D794" s="21" t="n"/>
      <c r="E794" s="21" t="n"/>
    </row>
    <row r="795">
      <c r="A795" s="24" t="n"/>
      <c r="B795" s="21" t="n"/>
      <c r="C795" s="21" t="n"/>
      <c r="D795" s="21" t="n"/>
      <c r="E795" s="21" t="n"/>
    </row>
    <row r="796">
      <c r="A796" s="24" t="n"/>
      <c r="B796" s="21" t="n"/>
      <c r="C796" s="21" t="n"/>
      <c r="D796" s="21" t="n"/>
      <c r="E796" s="21" t="n"/>
    </row>
    <row r="797">
      <c r="A797" s="24" t="n"/>
      <c r="B797" s="21" t="n"/>
      <c r="C797" s="21" t="n"/>
      <c r="D797" s="21" t="n"/>
      <c r="E797" s="21" t="n"/>
    </row>
    <row r="798">
      <c r="A798" s="24" t="n"/>
      <c r="B798" s="21" t="n"/>
      <c r="C798" s="21" t="n"/>
      <c r="D798" s="21" t="n"/>
      <c r="E798" s="21" t="n"/>
    </row>
    <row r="799">
      <c r="A799" s="24" t="n"/>
      <c r="B799" s="21" t="n"/>
      <c r="C799" s="21" t="n"/>
      <c r="D799" s="21" t="n"/>
      <c r="E799" s="21" t="n"/>
    </row>
    <row r="800">
      <c r="A800" s="24" t="n"/>
      <c r="B800" s="21" t="n"/>
      <c r="C800" s="21" t="n"/>
      <c r="D800" s="21" t="n"/>
      <c r="E800" s="21" t="n"/>
    </row>
    <row r="801">
      <c r="A801" s="24" t="n"/>
      <c r="B801" s="21" t="n"/>
      <c r="C801" s="21" t="n"/>
      <c r="D801" s="21" t="n"/>
      <c r="E801" s="21" t="n"/>
    </row>
    <row r="802">
      <c r="A802" s="24" t="n"/>
      <c r="B802" s="21" t="n"/>
      <c r="C802" s="21" t="n"/>
      <c r="D802" s="21" t="n"/>
      <c r="E802" s="21" t="n"/>
    </row>
    <row r="803">
      <c r="A803" s="24" t="n"/>
      <c r="B803" s="21" t="n"/>
      <c r="C803" s="21" t="n"/>
      <c r="D803" s="21" t="n"/>
      <c r="E803" s="21" t="n"/>
    </row>
    <row r="804">
      <c r="A804" s="24" t="n"/>
      <c r="B804" s="21" t="n"/>
      <c r="C804" s="21" t="n"/>
      <c r="D804" s="21" t="n"/>
      <c r="E804" s="21" t="n"/>
    </row>
    <row r="805">
      <c r="A805" s="24" t="n"/>
      <c r="B805" s="21" t="n"/>
      <c r="C805" s="21" t="n"/>
      <c r="D805" s="21" t="n"/>
      <c r="E805" s="21" t="n"/>
    </row>
    <row r="806">
      <c r="A806" s="24" t="n"/>
      <c r="B806" s="21" t="n"/>
      <c r="C806" s="21" t="n"/>
      <c r="D806" s="21" t="n"/>
      <c r="E806" s="21" t="n"/>
    </row>
    <row r="807">
      <c r="A807" s="24" t="n"/>
      <c r="B807" s="21" t="n"/>
      <c r="C807" s="21" t="n"/>
      <c r="D807" s="21" t="n"/>
      <c r="E807" s="21" t="n"/>
    </row>
    <row r="808">
      <c r="A808" s="24" t="n"/>
      <c r="B808" s="21" t="n"/>
      <c r="C808" s="21" t="n"/>
      <c r="D808" s="21" t="n"/>
      <c r="E808" s="21" t="n"/>
    </row>
    <row r="809">
      <c r="A809" s="24" t="n"/>
      <c r="B809" s="21" t="n"/>
      <c r="C809" s="21" t="n"/>
      <c r="D809" s="21" t="n"/>
      <c r="E809" s="21" t="n"/>
    </row>
    <row r="810">
      <c r="A810" s="24" t="n"/>
      <c r="B810" s="21" t="n"/>
      <c r="C810" s="21" t="n"/>
      <c r="D810" s="21" t="n"/>
      <c r="E810" s="21" t="n"/>
    </row>
    <row r="811">
      <c r="A811" s="24" t="n"/>
      <c r="B811" s="21" t="n"/>
      <c r="C811" s="21" t="n"/>
      <c r="D811" s="21" t="n"/>
      <c r="E811" s="21" t="n"/>
    </row>
    <row r="812">
      <c r="A812" s="24" t="n"/>
      <c r="B812" s="21" t="n"/>
      <c r="C812" s="21" t="n"/>
      <c r="D812" s="21" t="n"/>
      <c r="E812" s="21" t="n"/>
    </row>
    <row r="813">
      <c r="A813" s="24" t="n"/>
      <c r="B813" s="21" t="n"/>
      <c r="C813" s="21" t="n"/>
      <c r="D813" s="21" t="n"/>
      <c r="E813" s="21" t="n"/>
    </row>
    <row r="814">
      <c r="A814" s="24" t="n"/>
      <c r="B814" s="21" t="n"/>
      <c r="C814" s="21" t="n"/>
      <c r="D814" s="21" t="n"/>
      <c r="E814" s="21" t="n"/>
    </row>
    <row r="815">
      <c r="A815" s="24" t="n"/>
      <c r="B815" s="21" t="n"/>
      <c r="C815" s="21" t="n"/>
      <c r="D815" s="21" t="n"/>
      <c r="E815" s="21" t="n"/>
    </row>
    <row r="816">
      <c r="A816" s="24" t="n"/>
      <c r="B816" s="21" t="n"/>
      <c r="C816" s="21" t="n"/>
      <c r="D816" s="21" t="n"/>
      <c r="E816" s="21" t="n"/>
    </row>
    <row r="817">
      <c r="A817" s="24" t="n"/>
      <c r="B817" s="21" t="n"/>
      <c r="C817" s="21" t="n"/>
      <c r="D817" s="21" t="n"/>
      <c r="E817" s="21" t="n"/>
    </row>
    <row r="818">
      <c r="A818" s="24" t="n"/>
      <c r="B818" s="21" t="n"/>
      <c r="C818" s="21" t="n"/>
      <c r="D818" s="21" t="n"/>
      <c r="E818" s="21" t="n"/>
    </row>
    <row r="819">
      <c r="A819" s="24" t="n"/>
      <c r="B819" s="21" t="n"/>
      <c r="C819" s="21" t="n"/>
      <c r="D819" s="21" t="n"/>
      <c r="E819" s="21" t="n"/>
    </row>
    <row r="820">
      <c r="A820" s="24" t="n"/>
      <c r="B820" s="21" t="n"/>
      <c r="C820" s="21" t="n"/>
      <c r="D820" s="21" t="n"/>
      <c r="E820" s="21" t="n"/>
    </row>
    <row r="821">
      <c r="A821" s="24" t="n"/>
      <c r="B821" s="21" t="n"/>
      <c r="C821" s="21" t="n"/>
      <c r="D821" s="21" t="n"/>
      <c r="E821" s="21" t="n"/>
    </row>
    <row r="822">
      <c r="A822" s="24" t="n"/>
      <c r="B822" s="21" t="n"/>
      <c r="C822" s="21" t="n"/>
      <c r="D822" s="21" t="n"/>
      <c r="E822" s="21" t="n"/>
    </row>
    <row r="823">
      <c r="A823" s="24" t="n"/>
      <c r="B823" s="21" t="n"/>
      <c r="C823" s="21" t="n"/>
      <c r="D823" s="21" t="n"/>
      <c r="E823" s="21" t="n"/>
    </row>
    <row r="824">
      <c r="A824" s="24" t="n"/>
      <c r="B824" s="21" t="n"/>
      <c r="C824" s="21" t="n"/>
      <c r="D824" s="21" t="n"/>
      <c r="E824" s="21" t="n"/>
    </row>
    <row r="825">
      <c r="A825" s="24" t="n"/>
      <c r="B825" s="21" t="n"/>
      <c r="C825" s="21" t="n"/>
      <c r="D825" s="21" t="n"/>
      <c r="E825" s="21" t="n"/>
    </row>
    <row r="826">
      <c r="A826" s="24" t="n"/>
      <c r="B826" s="21" t="n"/>
      <c r="C826" s="21" t="n"/>
      <c r="D826" s="21" t="n"/>
      <c r="E826" s="21" t="n"/>
    </row>
    <row r="827">
      <c r="A827" s="24" t="n"/>
      <c r="B827" s="21" t="n"/>
      <c r="C827" s="21" t="n"/>
      <c r="D827" s="21" t="n"/>
      <c r="E827" s="21" t="n"/>
    </row>
    <row r="828">
      <c r="A828" s="24" t="n"/>
      <c r="B828" s="21" t="n"/>
      <c r="C828" s="21" t="n"/>
      <c r="D828" s="21" t="n"/>
      <c r="E828" s="21" t="n"/>
    </row>
    <row r="829">
      <c r="A829" s="24" t="n"/>
      <c r="B829" s="21" t="n"/>
      <c r="C829" s="21" t="n"/>
      <c r="D829" s="21" t="n"/>
      <c r="E829" s="21" t="n"/>
    </row>
    <row r="830">
      <c r="A830" s="24" t="n"/>
      <c r="B830" s="21" t="n"/>
      <c r="C830" s="21" t="n"/>
      <c r="D830" s="21" t="n"/>
      <c r="E830" s="21" t="n"/>
    </row>
    <row r="831">
      <c r="A831" s="24" t="n"/>
      <c r="B831" s="21" t="n"/>
      <c r="C831" s="21" t="n"/>
      <c r="D831" s="21" t="n"/>
      <c r="E831" s="21" t="n"/>
    </row>
    <row r="832">
      <c r="A832" s="24" t="n"/>
      <c r="B832" s="21" t="n"/>
      <c r="C832" s="21" t="n"/>
      <c r="D832" s="21" t="n"/>
      <c r="E832" s="21" t="n"/>
    </row>
    <row r="833">
      <c r="A833" s="24" t="n"/>
      <c r="B833" s="21" t="n"/>
      <c r="C833" s="21" t="n"/>
      <c r="D833" s="21" t="n"/>
      <c r="E833" s="21" t="n"/>
    </row>
    <row r="834">
      <c r="A834" s="24" t="n"/>
      <c r="B834" s="21" t="n"/>
      <c r="C834" s="21" t="n"/>
      <c r="D834" s="21" t="n"/>
      <c r="E834" s="21" t="n"/>
    </row>
    <row r="835">
      <c r="A835" s="24" t="n"/>
      <c r="B835" s="21" t="n"/>
      <c r="C835" s="21" t="n"/>
      <c r="D835" s="21" t="n"/>
      <c r="E835" s="21" t="n"/>
    </row>
    <row r="836">
      <c r="A836" s="24" t="n"/>
      <c r="B836" s="21" t="n"/>
      <c r="C836" s="21" t="n"/>
      <c r="D836" s="21" t="n"/>
      <c r="E836" s="21" t="n"/>
    </row>
    <row r="837">
      <c r="A837" s="24" t="n"/>
      <c r="B837" s="21" t="n"/>
      <c r="C837" s="21" t="n"/>
      <c r="D837" s="21" t="n"/>
      <c r="E837" s="21" t="n"/>
    </row>
    <row r="838">
      <c r="A838" s="24" t="n"/>
      <c r="B838" s="21" t="n"/>
      <c r="C838" s="21" t="n"/>
      <c r="D838" s="21" t="n"/>
      <c r="E838" s="21" t="n"/>
    </row>
    <row r="839">
      <c r="A839" s="24" t="n"/>
      <c r="B839" s="21" t="n"/>
      <c r="C839" s="21" t="n"/>
      <c r="D839" s="21" t="n"/>
      <c r="E839" s="21" t="n"/>
    </row>
    <row r="840">
      <c r="A840" s="24" t="n"/>
      <c r="B840" s="21" t="n"/>
      <c r="C840" s="21" t="n"/>
      <c r="D840" s="21" t="n"/>
      <c r="E840" s="21" t="n"/>
    </row>
    <row r="841">
      <c r="A841" s="24" t="n"/>
      <c r="B841" s="21" t="n"/>
      <c r="C841" s="21" t="n"/>
      <c r="D841" s="21" t="n"/>
      <c r="E841" s="21" t="n"/>
    </row>
    <row r="842">
      <c r="A842" s="24" t="n"/>
      <c r="B842" s="21" t="n"/>
      <c r="C842" s="21" t="n"/>
      <c r="D842" s="21" t="n"/>
      <c r="E842" s="21" t="n"/>
    </row>
    <row r="843">
      <c r="A843" s="24" t="n"/>
      <c r="B843" s="21" t="n"/>
      <c r="C843" s="21" t="n"/>
      <c r="D843" s="21" t="n"/>
      <c r="E843" s="21" t="n"/>
    </row>
    <row r="844">
      <c r="A844" s="24" t="n"/>
      <c r="B844" s="21" t="n"/>
      <c r="C844" s="21" t="n"/>
      <c r="D844" s="21" t="n"/>
      <c r="E844" s="21" t="n"/>
    </row>
    <row r="845">
      <c r="A845" s="24" t="n"/>
      <c r="B845" s="21" t="n"/>
      <c r="C845" s="21" t="n"/>
      <c r="D845" s="21" t="n"/>
      <c r="E845" s="21" t="n"/>
    </row>
    <row r="846">
      <c r="A846" s="24" t="n"/>
      <c r="B846" s="21" t="n"/>
      <c r="C846" s="21" t="n"/>
      <c r="D846" s="21" t="n"/>
      <c r="E846" s="21" t="n"/>
    </row>
    <row r="847">
      <c r="A847" s="24" t="n"/>
      <c r="B847" s="21" t="n"/>
      <c r="C847" s="21" t="n"/>
      <c r="D847" s="21" t="n"/>
      <c r="E847" s="21" t="n"/>
    </row>
    <row r="848">
      <c r="A848" s="24" t="n"/>
      <c r="B848" s="21" t="n"/>
      <c r="C848" s="21" t="n"/>
      <c r="D848" s="21" t="n"/>
      <c r="E848" s="21" t="n"/>
    </row>
    <row r="849">
      <c r="A849" s="24" t="n"/>
      <c r="B849" s="21" t="n"/>
      <c r="C849" s="21" t="n"/>
      <c r="D849" s="21" t="n"/>
      <c r="E849" s="21" t="n"/>
    </row>
    <row r="850">
      <c r="A850" s="24" t="n"/>
      <c r="B850" s="21" t="n"/>
      <c r="C850" s="21" t="n"/>
      <c r="D850" s="21" t="n"/>
      <c r="E850" s="21" t="n"/>
    </row>
    <row r="851">
      <c r="A851" s="24" t="n"/>
      <c r="B851" s="21" t="n"/>
      <c r="C851" s="21" t="n"/>
      <c r="D851" s="21" t="n"/>
      <c r="E851" s="21" t="n"/>
    </row>
    <row r="852">
      <c r="A852" s="24" t="n"/>
      <c r="B852" s="21" t="n"/>
      <c r="C852" s="21" t="n"/>
      <c r="D852" s="21" t="n"/>
      <c r="E852" s="21" t="n"/>
    </row>
    <row r="853">
      <c r="A853" s="24" t="n"/>
      <c r="B853" s="21" t="n"/>
      <c r="C853" s="21" t="n"/>
      <c r="D853" s="21" t="n"/>
      <c r="E853" s="21" t="n"/>
    </row>
    <row r="854">
      <c r="A854" s="24" t="n"/>
      <c r="B854" s="21" t="n"/>
      <c r="C854" s="21" t="n"/>
      <c r="D854" s="21" t="n"/>
      <c r="E854" s="21" t="n"/>
    </row>
    <row r="855">
      <c r="A855" s="24" t="n"/>
      <c r="B855" s="21" t="n"/>
      <c r="C855" s="21" t="n"/>
      <c r="D855" s="21" t="n"/>
      <c r="E855" s="21" t="n"/>
    </row>
    <row r="856">
      <c r="A856" s="24" t="n"/>
      <c r="B856" s="21" t="n"/>
      <c r="C856" s="21" t="n"/>
      <c r="D856" s="21" t="n"/>
      <c r="E856" s="21" t="n"/>
    </row>
    <row r="857">
      <c r="A857" s="24" t="n"/>
      <c r="B857" s="21" t="n"/>
      <c r="C857" s="21" t="n"/>
      <c r="D857" s="21" t="n"/>
      <c r="E857" s="21" t="n"/>
    </row>
    <row r="858">
      <c r="A858" s="24" t="n"/>
      <c r="B858" s="21" t="n"/>
      <c r="C858" s="21" t="n"/>
      <c r="D858" s="21" t="n"/>
      <c r="E858" s="21" t="n"/>
    </row>
    <row r="859">
      <c r="A859" s="24" t="n"/>
      <c r="B859" s="21" t="n"/>
      <c r="C859" s="21" t="n"/>
      <c r="D859" s="21" t="n"/>
      <c r="E859" s="21" t="n"/>
    </row>
    <row r="860">
      <c r="A860" s="24" t="n"/>
      <c r="B860" s="21" t="n"/>
      <c r="C860" s="21" t="n"/>
      <c r="D860" s="21" t="n"/>
      <c r="E860" s="21" t="n"/>
    </row>
    <row r="861">
      <c r="A861" s="24" t="n"/>
      <c r="B861" s="21" t="n"/>
      <c r="C861" s="21" t="n"/>
      <c r="D861" s="21" t="n"/>
      <c r="E861" s="21" t="n"/>
    </row>
    <row r="862">
      <c r="A862" s="24" t="n"/>
      <c r="B862" s="21" t="n"/>
      <c r="C862" s="21" t="n"/>
      <c r="D862" s="21" t="n"/>
      <c r="E862" s="21" t="n"/>
    </row>
    <row r="863">
      <c r="A863" s="24" t="n"/>
      <c r="B863" s="21" t="n"/>
      <c r="C863" s="21" t="n"/>
      <c r="D863" s="21" t="n"/>
      <c r="E863" s="21" t="n"/>
    </row>
    <row r="864">
      <c r="A864" s="24" t="n"/>
      <c r="B864" s="21" t="n"/>
      <c r="C864" s="21" t="n"/>
      <c r="D864" s="21" t="n"/>
      <c r="E864" s="21" t="n"/>
    </row>
    <row r="865">
      <c r="A865" s="24" t="n"/>
      <c r="B865" s="21" t="n"/>
      <c r="C865" s="21" t="n"/>
      <c r="D865" s="21" t="n"/>
      <c r="E865" s="21" t="n"/>
    </row>
    <row r="866">
      <c r="A866" s="24" t="n"/>
      <c r="B866" s="21" t="n"/>
      <c r="C866" s="21" t="n"/>
      <c r="D866" s="21" t="n"/>
      <c r="E866" s="21" t="n"/>
    </row>
    <row r="867">
      <c r="A867" s="24" t="n"/>
      <c r="B867" s="21" t="n"/>
      <c r="C867" s="21" t="n"/>
      <c r="D867" s="21" t="n"/>
      <c r="E867" s="21" t="n"/>
    </row>
    <row r="868">
      <c r="A868" s="24" t="n"/>
      <c r="B868" s="21" t="n"/>
      <c r="C868" s="21" t="n"/>
      <c r="D868" s="21" t="n"/>
      <c r="E868" s="21" t="n"/>
    </row>
    <row r="869">
      <c r="A869" s="24" t="n"/>
      <c r="B869" s="21" t="n"/>
      <c r="C869" s="21" t="n"/>
      <c r="D869" s="21" t="n"/>
      <c r="E869" s="21" t="n"/>
    </row>
    <row r="870">
      <c r="A870" s="24" t="n"/>
      <c r="B870" s="21" t="n"/>
      <c r="C870" s="21" t="n"/>
      <c r="D870" s="21" t="n"/>
      <c r="E870" s="21" t="n"/>
    </row>
    <row r="871">
      <c r="A871" s="24" t="n"/>
      <c r="B871" s="21" t="n"/>
      <c r="C871" s="21" t="n"/>
      <c r="D871" s="21" t="n"/>
      <c r="E871" s="21" t="n"/>
    </row>
    <row r="872">
      <c r="A872" s="24" t="n"/>
      <c r="B872" s="21" t="n"/>
      <c r="C872" s="21" t="n"/>
      <c r="D872" s="21" t="n"/>
      <c r="E872" s="21" t="n"/>
    </row>
    <row r="873">
      <c r="A873" s="24" t="n"/>
      <c r="B873" s="21" t="n"/>
      <c r="C873" s="21" t="n"/>
      <c r="D873" s="21" t="n"/>
      <c r="E873" s="21" t="n"/>
    </row>
    <row r="874">
      <c r="A874" s="24" t="n"/>
      <c r="B874" s="21" t="n"/>
      <c r="C874" s="21" t="n"/>
      <c r="D874" s="21" t="n"/>
      <c r="E874" s="21" t="n"/>
    </row>
    <row r="875">
      <c r="A875" s="24" t="n"/>
      <c r="B875" s="21" t="n"/>
      <c r="C875" s="21" t="n"/>
      <c r="D875" s="21" t="n"/>
      <c r="E875" s="21" t="n"/>
    </row>
    <row r="876">
      <c r="A876" s="24" t="n"/>
      <c r="B876" s="21" t="n"/>
      <c r="C876" s="21" t="n"/>
      <c r="D876" s="21" t="n"/>
      <c r="E876" s="21" t="n"/>
    </row>
    <row r="877">
      <c r="A877" s="24" t="n"/>
      <c r="B877" s="21" t="n"/>
      <c r="C877" s="21" t="n"/>
      <c r="D877" s="21" t="n"/>
      <c r="E877" s="21" t="n"/>
    </row>
    <row r="878">
      <c r="A878" s="24" t="n"/>
      <c r="B878" s="21" t="n"/>
      <c r="C878" s="21" t="n"/>
      <c r="D878" s="21" t="n"/>
      <c r="E878" s="21" t="n"/>
    </row>
    <row r="879">
      <c r="A879" s="24" t="n"/>
      <c r="B879" s="21" t="n"/>
      <c r="C879" s="21" t="n"/>
      <c r="D879" s="21" t="n"/>
      <c r="E879" s="21" t="n"/>
    </row>
    <row r="880">
      <c r="A880" s="24" t="n"/>
      <c r="B880" s="21" t="n"/>
      <c r="C880" s="21" t="n"/>
      <c r="D880" s="21" t="n"/>
      <c r="E880" s="21" t="n"/>
    </row>
    <row r="881">
      <c r="A881" s="24" t="n"/>
      <c r="B881" s="21" t="n"/>
      <c r="C881" s="21" t="n"/>
      <c r="D881" s="21" t="n"/>
      <c r="E881" s="21" t="n"/>
    </row>
    <row r="882">
      <c r="A882" s="24" t="n"/>
      <c r="B882" s="21" t="n"/>
      <c r="C882" s="21" t="n"/>
      <c r="D882" s="21" t="n"/>
      <c r="E882" s="21" t="n"/>
    </row>
    <row r="883">
      <c r="A883" s="24" t="n"/>
      <c r="B883" s="21" t="n"/>
      <c r="C883" s="21" t="n"/>
      <c r="D883" s="21" t="n"/>
      <c r="E883" s="21" t="n"/>
    </row>
    <row r="884">
      <c r="A884" s="24" t="n"/>
      <c r="B884" s="21" t="n"/>
      <c r="C884" s="21" t="n"/>
      <c r="D884" s="21" t="n"/>
      <c r="E884" s="21" t="n"/>
    </row>
    <row r="885">
      <c r="A885" s="24" t="n"/>
      <c r="B885" s="21" t="n"/>
      <c r="C885" s="21" t="n"/>
      <c r="D885" s="21" t="n"/>
      <c r="E885" s="21" t="n"/>
    </row>
    <row r="886">
      <c r="A886" s="24" t="n"/>
      <c r="B886" s="21" t="n"/>
      <c r="C886" s="21" t="n"/>
      <c r="D886" s="21" t="n"/>
      <c r="E886" s="21" t="n"/>
    </row>
    <row r="887">
      <c r="A887" s="24" t="n"/>
      <c r="B887" s="21" t="n"/>
      <c r="C887" s="21" t="n"/>
      <c r="D887" s="21" t="n"/>
      <c r="E887" s="21" t="n"/>
    </row>
    <row r="888">
      <c r="A888" s="24" t="n"/>
      <c r="B888" s="21" t="n"/>
      <c r="C888" s="21" t="n"/>
      <c r="D888" s="21" t="n"/>
      <c r="E888" s="21" t="n"/>
    </row>
    <row r="889">
      <c r="A889" s="24" t="n"/>
      <c r="B889" s="21" t="n"/>
      <c r="C889" s="21" t="n"/>
      <c r="D889" s="21" t="n"/>
      <c r="E889" s="21" t="n"/>
    </row>
    <row r="890">
      <c r="A890" s="24" t="n"/>
      <c r="B890" s="21" t="n"/>
      <c r="C890" s="21" t="n"/>
      <c r="D890" s="21" t="n"/>
      <c r="E890" s="21" t="n"/>
    </row>
    <row r="891">
      <c r="A891" s="24" t="n"/>
      <c r="B891" s="21" t="n"/>
      <c r="C891" s="21" t="n"/>
      <c r="D891" s="21" t="n"/>
      <c r="E891" s="21" t="n"/>
    </row>
    <row r="892">
      <c r="A892" s="24" t="n"/>
      <c r="B892" s="21" t="n"/>
      <c r="C892" s="21" t="n"/>
      <c r="D892" s="21" t="n"/>
      <c r="E892" s="21" t="n"/>
    </row>
    <row r="893">
      <c r="A893" s="24" t="n"/>
      <c r="B893" s="21" t="n"/>
      <c r="C893" s="21" t="n"/>
      <c r="D893" s="21" t="n"/>
      <c r="E893" s="21" t="n"/>
    </row>
    <row r="894">
      <c r="A894" s="24" t="n"/>
      <c r="B894" s="21" t="n"/>
      <c r="C894" s="21" t="n"/>
      <c r="D894" s="21" t="n"/>
      <c r="E894" s="21" t="n"/>
    </row>
    <row r="895">
      <c r="A895" s="24" t="n"/>
      <c r="B895" s="21" t="n"/>
      <c r="C895" s="21" t="n"/>
      <c r="D895" s="21" t="n"/>
      <c r="E895" s="21" t="n"/>
    </row>
    <row r="896">
      <c r="A896" s="24" t="n"/>
      <c r="B896" s="21" t="n"/>
      <c r="C896" s="21" t="n"/>
      <c r="D896" s="21" t="n"/>
      <c r="E896" s="21" t="n"/>
    </row>
    <row r="897">
      <c r="A897" s="24" t="n"/>
      <c r="B897" s="21" t="n"/>
      <c r="C897" s="21" t="n"/>
      <c r="D897" s="21" t="n"/>
      <c r="E897" s="21" t="n"/>
    </row>
    <row r="898">
      <c r="A898" s="24" t="n"/>
      <c r="B898" s="21" t="n"/>
      <c r="C898" s="21" t="n"/>
      <c r="D898" s="21" t="n"/>
      <c r="E898" s="21" t="n"/>
    </row>
    <row r="899">
      <c r="A899" s="24" t="n"/>
      <c r="B899" s="21" t="n"/>
      <c r="C899" s="21" t="n"/>
      <c r="D899" s="21" t="n"/>
      <c r="E899" s="21" t="n"/>
    </row>
    <row r="900">
      <c r="A900" s="24" t="n"/>
      <c r="B900" s="21" t="n"/>
      <c r="C900" s="21" t="n"/>
      <c r="D900" s="21" t="n"/>
      <c r="E900" s="21" t="n"/>
    </row>
    <row r="901">
      <c r="A901" s="24" t="n"/>
      <c r="B901" s="21" t="n"/>
      <c r="C901" s="21" t="n"/>
      <c r="D901" s="21" t="n"/>
      <c r="E901" s="21" t="n"/>
    </row>
    <row r="902">
      <c r="A902" s="24" t="n"/>
      <c r="B902" s="21" t="n"/>
      <c r="C902" s="21" t="n"/>
      <c r="D902" s="21" t="n"/>
      <c r="E902" s="21" t="n"/>
    </row>
    <row r="903">
      <c r="A903" s="24" t="n"/>
      <c r="B903" s="21" t="n"/>
      <c r="C903" s="21" t="n"/>
      <c r="D903" s="21" t="n"/>
      <c r="E903" s="21" t="n"/>
    </row>
    <row r="904">
      <c r="A904" s="24" t="n"/>
      <c r="B904" s="21" t="n"/>
      <c r="C904" s="21" t="n"/>
      <c r="D904" s="21" t="n"/>
      <c r="E904" s="21" t="n"/>
    </row>
    <row r="905">
      <c r="A905" s="24" t="n"/>
      <c r="B905" s="21" t="n"/>
      <c r="C905" s="21" t="n"/>
      <c r="D905" s="21" t="n"/>
      <c r="E905" s="21" t="n"/>
    </row>
    <row r="906">
      <c r="A906" s="24" t="n"/>
      <c r="B906" s="21" t="n"/>
      <c r="C906" s="21" t="n"/>
      <c r="D906" s="21" t="n"/>
      <c r="E906" s="21" t="n"/>
    </row>
    <row r="907">
      <c r="A907" s="24" t="n"/>
      <c r="B907" s="21" t="n"/>
      <c r="C907" s="21" t="n"/>
      <c r="D907" s="21" t="n"/>
      <c r="E907" s="21" t="n"/>
    </row>
    <row r="908">
      <c r="A908" s="24" t="n"/>
      <c r="B908" s="21" t="n"/>
      <c r="C908" s="21" t="n"/>
      <c r="D908" s="21" t="n"/>
      <c r="E908" s="21" t="n"/>
    </row>
    <row r="909">
      <c r="A909" s="24" t="n"/>
      <c r="B909" s="21" t="n"/>
      <c r="C909" s="21" t="n"/>
      <c r="D909" s="21" t="n"/>
      <c r="E909" s="21" t="n"/>
    </row>
    <row r="910">
      <c r="A910" s="24" t="n"/>
      <c r="B910" s="21" t="n"/>
      <c r="C910" s="21" t="n"/>
      <c r="D910" s="21" t="n"/>
      <c r="E910" s="21" t="n"/>
    </row>
    <row r="911">
      <c r="A911" s="24" t="n"/>
      <c r="B911" s="21" t="n"/>
      <c r="C911" s="21" t="n"/>
      <c r="D911" s="21" t="n"/>
      <c r="E911" s="21" t="n"/>
    </row>
    <row r="912">
      <c r="A912" s="24" t="n"/>
      <c r="B912" s="21" t="n"/>
      <c r="C912" s="21" t="n"/>
      <c r="D912" s="21" t="n"/>
      <c r="E912" s="21" t="n"/>
    </row>
    <row r="913">
      <c r="A913" s="24" t="n"/>
      <c r="B913" s="21" t="n"/>
      <c r="C913" s="21" t="n"/>
      <c r="D913" s="21" t="n"/>
      <c r="E913" s="21" t="n"/>
    </row>
    <row r="914">
      <c r="A914" s="24" t="n"/>
      <c r="B914" s="21" t="n"/>
      <c r="C914" s="21" t="n"/>
      <c r="D914" s="21" t="n"/>
      <c r="E914" s="21" t="n"/>
    </row>
    <row r="915">
      <c r="A915" s="24" t="n"/>
      <c r="B915" s="21" t="n"/>
      <c r="C915" s="21" t="n"/>
      <c r="D915" s="21" t="n"/>
      <c r="E915" s="21" t="n"/>
    </row>
    <row r="916">
      <c r="A916" s="24" t="n"/>
      <c r="B916" s="21" t="n"/>
      <c r="C916" s="21" t="n"/>
      <c r="D916" s="21" t="n"/>
      <c r="E916" s="21" t="n"/>
    </row>
    <row r="917">
      <c r="A917" s="24" t="n"/>
      <c r="B917" s="21" t="n"/>
      <c r="C917" s="21" t="n"/>
      <c r="D917" s="21" t="n"/>
      <c r="E917" s="21" t="n"/>
    </row>
    <row r="918">
      <c r="A918" s="24" t="n"/>
      <c r="B918" s="21" t="n"/>
      <c r="C918" s="21" t="n"/>
      <c r="D918" s="21" t="n"/>
      <c r="E918" s="21" t="n"/>
    </row>
    <row r="919">
      <c r="A919" s="24" t="n"/>
      <c r="B919" s="21" t="n"/>
      <c r="C919" s="21" t="n"/>
      <c r="D919" s="21" t="n"/>
      <c r="E919" s="21" t="n"/>
    </row>
    <row r="920">
      <c r="A920" s="24" t="n"/>
      <c r="B920" s="21" t="n"/>
      <c r="C920" s="21" t="n"/>
      <c r="D920" s="21" t="n"/>
      <c r="E920" s="21" t="n"/>
    </row>
    <row r="921">
      <c r="A921" s="24" t="n"/>
      <c r="B921" s="21" t="n"/>
      <c r="C921" s="21" t="n"/>
      <c r="D921" s="21" t="n"/>
      <c r="E921" s="21" t="n"/>
    </row>
    <row r="922">
      <c r="A922" s="24" t="n"/>
      <c r="B922" s="21" t="n"/>
      <c r="C922" s="21" t="n"/>
      <c r="D922" s="21" t="n"/>
      <c r="E922" s="21" t="n"/>
    </row>
    <row r="923">
      <c r="A923" s="24" t="n"/>
      <c r="B923" s="21" t="n"/>
      <c r="C923" s="21" t="n"/>
      <c r="D923" s="21" t="n"/>
      <c r="E923" s="21" t="n"/>
    </row>
    <row r="924">
      <c r="A924" s="24" t="n"/>
      <c r="B924" s="21" t="n"/>
      <c r="C924" s="21" t="n"/>
      <c r="D924" s="21" t="n"/>
      <c r="E924" s="21" t="n"/>
    </row>
    <row r="925">
      <c r="A925" s="24" t="n"/>
      <c r="B925" s="21" t="n"/>
      <c r="C925" s="21" t="n"/>
      <c r="D925" s="21" t="n"/>
      <c r="E925" s="21" t="n"/>
    </row>
    <row r="926">
      <c r="A926" s="24" t="n"/>
      <c r="B926" s="21" t="n"/>
      <c r="C926" s="21" t="n"/>
      <c r="D926" s="21" t="n"/>
      <c r="E926" s="21" t="n"/>
    </row>
    <row r="927">
      <c r="A927" s="24" t="n"/>
      <c r="B927" s="21" t="n"/>
      <c r="C927" s="21" t="n"/>
      <c r="D927" s="21" t="n"/>
      <c r="E927" s="21" t="n"/>
    </row>
    <row r="928">
      <c r="A928" s="24" t="n"/>
      <c r="B928" s="21" t="n"/>
      <c r="C928" s="21" t="n"/>
      <c r="D928" s="21" t="n"/>
      <c r="E928" s="21" t="n"/>
    </row>
    <row r="929">
      <c r="A929" s="24" t="n"/>
      <c r="B929" s="21" t="n"/>
      <c r="C929" s="21" t="n"/>
      <c r="D929" s="21" t="n"/>
      <c r="E929" s="21" t="n"/>
    </row>
    <row r="930">
      <c r="A930" s="24" t="n"/>
      <c r="B930" s="21" t="n"/>
      <c r="C930" s="21" t="n"/>
      <c r="D930" s="21" t="n"/>
      <c r="E930" s="21" t="n"/>
    </row>
    <row r="931">
      <c r="A931" s="24" t="n"/>
      <c r="B931" s="21" t="n"/>
      <c r="C931" s="21" t="n"/>
      <c r="D931" s="21" t="n"/>
      <c r="E931" s="21" t="n"/>
    </row>
    <row r="932">
      <c r="A932" s="24" t="n"/>
      <c r="B932" s="21" t="n"/>
      <c r="C932" s="21" t="n"/>
      <c r="D932" s="21" t="n"/>
      <c r="E932" s="21" t="n"/>
    </row>
    <row r="933">
      <c r="A933" s="24" t="n"/>
      <c r="B933" s="21" t="n"/>
      <c r="C933" s="21" t="n"/>
      <c r="D933" s="21" t="n"/>
      <c r="E933" s="21" t="n"/>
    </row>
    <row r="934">
      <c r="A934" s="24" t="n"/>
      <c r="B934" s="21" t="n"/>
      <c r="C934" s="21" t="n"/>
      <c r="D934" s="21" t="n"/>
      <c r="E934" s="21" t="n"/>
    </row>
    <row r="935">
      <c r="A935" s="24" t="n"/>
      <c r="B935" s="21" t="n"/>
      <c r="C935" s="21" t="n"/>
      <c r="D935" s="21" t="n"/>
      <c r="E935" s="21" t="n"/>
    </row>
    <row r="936">
      <c r="A936" s="24" t="n"/>
      <c r="B936" s="21" t="n"/>
      <c r="C936" s="21" t="n"/>
      <c r="D936" s="21" t="n"/>
      <c r="E936" s="21" t="n"/>
    </row>
    <row r="937">
      <c r="A937" s="24" t="n"/>
      <c r="B937" s="21" t="n"/>
      <c r="C937" s="21" t="n"/>
      <c r="D937" s="21" t="n"/>
      <c r="E937" s="21" t="n"/>
    </row>
    <row r="938">
      <c r="A938" s="24" t="n"/>
      <c r="B938" s="21" t="n"/>
      <c r="C938" s="21" t="n"/>
      <c r="D938" s="21" t="n"/>
      <c r="E938" s="21" t="n"/>
    </row>
    <row r="939">
      <c r="A939" s="24" t="n"/>
      <c r="B939" s="21" t="n"/>
      <c r="C939" s="21" t="n"/>
      <c r="D939" s="21" t="n"/>
      <c r="E939" s="21" t="n"/>
    </row>
    <row r="940">
      <c r="A940" s="24" t="n"/>
      <c r="B940" s="21" t="n"/>
      <c r="C940" s="21" t="n"/>
      <c r="D940" s="21" t="n"/>
      <c r="E940" s="21" t="n"/>
    </row>
    <row r="941">
      <c r="A941" s="24" t="n"/>
      <c r="B941" s="21" t="n"/>
      <c r="C941" s="21" t="n"/>
      <c r="D941" s="21" t="n"/>
      <c r="E941" s="21" t="n"/>
    </row>
    <row r="942">
      <c r="A942" s="24" t="n"/>
      <c r="B942" s="21" t="n"/>
      <c r="C942" s="21" t="n"/>
      <c r="D942" s="21" t="n"/>
      <c r="E942" s="21" t="n"/>
    </row>
    <row r="943">
      <c r="A943" s="24" t="n"/>
      <c r="B943" s="21" t="n"/>
      <c r="C943" s="21" t="n"/>
      <c r="D943" s="21" t="n"/>
      <c r="E943" s="21" t="n"/>
    </row>
    <row r="944">
      <c r="A944" s="24" t="n"/>
      <c r="B944" s="21" t="n"/>
      <c r="C944" s="21" t="n"/>
      <c r="D944" s="21" t="n"/>
      <c r="E944" s="21" t="n"/>
    </row>
    <row r="945">
      <c r="A945" s="24" t="n"/>
      <c r="B945" s="21" t="n"/>
      <c r="C945" s="21" t="n"/>
      <c r="D945" s="21" t="n"/>
      <c r="E945" s="21" t="n"/>
    </row>
    <row r="946">
      <c r="A946" s="24" t="n"/>
      <c r="B946" s="21" t="n"/>
      <c r="C946" s="21" t="n"/>
      <c r="D946" s="21" t="n"/>
      <c r="E946" s="21" t="n"/>
    </row>
    <row r="947">
      <c r="A947" s="24" t="n"/>
      <c r="B947" s="21" t="n"/>
      <c r="C947" s="21" t="n"/>
      <c r="D947" s="21" t="n"/>
      <c r="E947" s="21" t="n"/>
    </row>
    <row r="948">
      <c r="A948" s="24" t="n"/>
      <c r="B948" s="21" t="n"/>
      <c r="C948" s="21" t="n"/>
      <c r="D948" s="21" t="n"/>
      <c r="E948" s="21" t="n"/>
    </row>
    <row r="949">
      <c r="A949" s="24" t="n"/>
      <c r="B949" s="21" t="n"/>
      <c r="C949" s="21" t="n"/>
      <c r="D949" s="21" t="n"/>
      <c r="E949" s="21" t="n"/>
    </row>
    <row r="950">
      <c r="A950" s="24" t="n"/>
      <c r="B950" s="21" t="n"/>
      <c r="C950" s="21" t="n"/>
      <c r="D950" s="21" t="n"/>
      <c r="E950" s="21" t="n"/>
    </row>
    <row r="951">
      <c r="A951" s="24" t="n"/>
      <c r="B951" s="21" t="n"/>
      <c r="C951" s="21" t="n"/>
      <c r="D951" s="21" t="n"/>
      <c r="E951" s="21" t="n"/>
    </row>
    <row r="952">
      <c r="A952" s="24" t="n"/>
      <c r="B952" s="21" t="n"/>
      <c r="C952" s="21" t="n"/>
      <c r="D952" s="21" t="n"/>
      <c r="E952" s="21" t="n"/>
    </row>
    <row r="953">
      <c r="A953" s="24" t="n"/>
      <c r="B953" s="21" t="n"/>
      <c r="C953" s="21" t="n"/>
      <c r="D953" s="21" t="n"/>
      <c r="E953" s="21" t="n"/>
    </row>
    <row r="954">
      <c r="A954" s="24" t="n"/>
      <c r="B954" s="21" t="n"/>
      <c r="C954" s="21" t="n"/>
      <c r="D954" s="21" t="n"/>
      <c r="E954" s="21" t="n"/>
    </row>
    <row r="955">
      <c r="A955" s="24" t="n"/>
      <c r="B955" s="21" t="n"/>
      <c r="C955" s="21" t="n"/>
      <c r="D955" s="21" t="n"/>
      <c r="E955" s="21" t="n"/>
    </row>
    <row r="956">
      <c r="A956" s="24" t="n"/>
      <c r="B956" s="21" t="n"/>
      <c r="C956" s="21" t="n"/>
      <c r="D956" s="21" t="n"/>
      <c r="E956" s="21" t="n"/>
    </row>
    <row r="957">
      <c r="A957" s="24" t="n"/>
      <c r="B957" s="21" t="n"/>
      <c r="C957" s="21" t="n"/>
      <c r="D957" s="21" t="n"/>
      <c r="E957" s="21" t="n"/>
    </row>
    <row r="958">
      <c r="A958" s="24" t="n"/>
      <c r="B958" s="21" t="n"/>
      <c r="C958" s="21" t="n"/>
      <c r="D958" s="21" t="n"/>
      <c r="E958" s="21" t="n"/>
    </row>
    <row r="959">
      <c r="A959" s="24" t="n"/>
      <c r="B959" s="21" t="n"/>
      <c r="C959" s="21" t="n"/>
      <c r="D959" s="21" t="n"/>
      <c r="E959" s="21" t="n"/>
    </row>
    <row r="960">
      <c r="A960" s="24" t="n"/>
      <c r="B960" s="21" t="n"/>
      <c r="C960" s="21" t="n"/>
      <c r="D960" s="21" t="n"/>
      <c r="E960" s="21" t="n"/>
    </row>
    <row r="961">
      <c r="A961" s="24" t="n"/>
      <c r="B961" s="21" t="n"/>
      <c r="C961" s="21" t="n"/>
      <c r="D961" s="21" t="n"/>
      <c r="E961" s="21" t="n"/>
    </row>
    <row r="962">
      <c r="A962" s="24" t="n"/>
      <c r="B962" s="21" t="n"/>
      <c r="C962" s="21" t="n"/>
      <c r="D962" s="21" t="n"/>
      <c r="E962" s="21" t="n"/>
    </row>
    <row r="963">
      <c r="A963" s="24" t="n"/>
      <c r="B963" s="21" t="n"/>
      <c r="C963" s="21" t="n"/>
      <c r="D963" s="21" t="n"/>
      <c r="E963" s="21" t="n"/>
    </row>
    <row r="964">
      <c r="A964" s="24" t="n"/>
      <c r="B964" s="21" t="n"/>
      <c r="C964" s="21" t="n"/>
      <c r="D964" s="21" t="n"/>
      <c r="E964" s="21" t="n"/>
    </row>
    <row r="965">
      <c r="A965" s="24" t="n"/>
      <c r="B965" s="21" t="n"/>
      <c r="C965" s="21" t="n"/>
      <c r="D965" s="21" t="n"/>
      <c r="E965" s="21" t="n"/>
    </row>
    <row r="966">
      <c r="A966" s="24" t="n"/>
      <c r="B966" s="21" t="n"/>
      <c r="C966" s="21" t="n"/>
      <c r="D966" s="21" t="n"/>
      <c r="E966" s="21" t="n"/>
    </row>
    <row r="967">
      <c r="A967" s="24" t="n"/>
      <c r="B967" s="21" t="n"/>
      <c r="C967" s="21" t="n"/>
      <c r="D967" s="21" t="n"/>
      <c r="E967" s="21" t="n"/>
    </row>
    <row r="968">
      <c r="A968" s="24" t="n"/>
      <c r="B968" s="21" t="n"/>
      <c r="C968" s="21" t="n"/>
      <c r="D968" s="21" t="n"/>
      <c r="E968" s="21" t="n"/>
    </row>
    <row r="969">
      <c r="A969" s="24" t="n"/>
      <c r="B969" s="21" t="n"/>
      <c r="C969" s="21" t="n"/>
      <c r="D969" s="21" t="n"/>
      <c r="E969" s="21" t="n"/>
    </row>
    <row r="970">
      <c r="A970" s="24" t="n"/>
      <c r="B970" s="21" t="n"/>
      <c r="C970" s="21" t="n"/>
      <c r="D970" s="21" t="n"/>
      <c r="E970" s="21" t="n"/>
    </row>
    <row r="971">
      <c r="A971" s="24" t="n"/>
      <c r="B971" s="21" t="n"/>
      <c r="C971" s="21" t="n"/>
      <c r="D971" s="21" t="n"/>
      <c r="E971" s="21" t="n"/>
    </row>
    <row r="972">
      <c r="A972" s="24" t="n"/>
      <c r="B972" s="21" t="n"/>
      <c r="C972" s="21" t="n"/>
      <c r="D972" s="21" t="n"/>
      <c r="E972" s="21" t="n"/>
    </row>
    <row r="973">
      <c r="A973" s="24" t="n"/>
      <c r="B973" s="21" t="n"/>
      <c r="C973" s="21" t="n"/>
      <c r="D973" s="21" t="n"/>
      <c r="E973" s="21" t="n"/>
    </row>
    <row r="974">
      <c r="A974" s="24" t="n"/>
      <c r="B974" s="21" t="n"/>
      <c r="C974" s="21" t="n"/>
      <c r="D974" s="21" t="n"/>
      <c r="E974" s="21" t="n"/>
    </row>
    <row r="975">
      <c r="A975" s="24" t="n"/>
      <c r="B975" s="21" t="n"/>
      <c r="C975" s="21" t="n"/>
      <c r="D975" s="21" t="n"/>
      <c r="E975" s="21" t="n"/>
    </row>
    <row r="976">
      <c r="A976" s="24" t="n"/>
      <c r="B976" s="21" t="n"/>
      <c r="C976" s="21" t="n"/>
      <c r="D976" s="21" t="n"/>
      <c r="E976" s="21" t="n"/>
    </row>
    <row r="977">
      <c r="A977" s="24" t="n"/>
      <c r="B977" s="21" t="n"/>
      <c r="C977" s="21" t="n"/>
      <c r="D977" s="21" t="n"/>
      <c r="E977" s="21" t="n"/>
    </row>
    <row r="978">
      <c r="A978" s="24" t="n"/>
      <c r="B978" s="21" t="n"/>
      <c r="C978" s="21" t="n"/>
      <c r="D978" s="21" t="n"/>
      <c r="E978" s="21" t="n"/>
    </row>
    <row r="979">
      <c r="A979" s="24" t="n"/>
      <c r="B979" s="21" t="n"/>
      <c r="C979" s="21" t="n"/>
      <c r="D979" s="21" t="n"/>
      <c r="E979" s="21" t="n"/>
    </row>
    <row r="980">
      <c r="A980" s="24" t="n"/>
      <c r="B980" s="21" t="n"/>
      <c r="C980" s="21" t="n"/>
      <c r="D980" s="21" t="n"/>
      <c r="E980" s="21" t="n"/>
    </row>
    <row r="981">
      <c r="A981" s="24" t="n"/>
      <c r="B981" s="21" t="n"/>
      <c r="C981" s="21" t="n"/>
      <c r="D981" s="21" t="n"/>
      <c r="E981" s="21" t="n"/>
    </row>
    <row r="982">
      <c r="A982" s="24" t="n"/>
      <c r="B982" s="21" t="n"/>
      <c r="C982" s="21" t="n"/>
      <c r="D982" s="21" t="n"/>
      <c r="E982" s="21" t="n"/>
    </row>
    <row r="983">
      <c r="A983" s="24" t="n"/>
      <c r="B983" s="21" t="n"/>
      <c r="C983" s="21" t="n"/>
      <c r="D983" s="21" t="n"/>
      <c r="E983" s="21" t="n"/>
    </row>
    <row r="984">
      <c r="A984" s="24" t="n"/>
      <c r="B984" s="21" t="n"/>
      <c r="C984" s="21" t="n"/>
      <c r="D984" s="21" t="n"/>
      <c r="E984" s="21" t="n"/>
    </row>
    <row r="985">
      <c r="A985" s="24" t="n"/>
      <c r="B985" s="21" t="n"/>
      <c r="C985" s="21" t="n"/>
      <c r="D985" s="21" t="n"/>
      <c r="E985" s="21" t="n"/>
    </row>
    <row r="986">
      <c r="A986" s="24" t="n"/>
      <c r="B986" s="21" t="n"/>
      <c r="C986" s="21" t="n"/>
      <c r="D986" s="21" t="n"/>
      <c r="E986" s="21" t="n"/>
    </row>
    <row r="987">
      <c r="A987" s="24" t="n"/>
      <c r="B987" s="21" t="n"/>
      <c r="C987" s="21" t="n"/>
      <c r="D987" s="21" t="n"/>
      <c r="E987" s="21" t="n"/>
    </row>
    <row r="988">
      <c r="A988" s="24" t="n"/>
      <c r="B988" s="21" t="n"/>
      <c r="C988" s="21" t="n"/>
      <c r="D988" s="21" t="n"/>
      <c r="E988" s="21" t="n"/>
    </row>
    <row r="989">
      <c r="A989" s="24" t="n"/>
      <c r="B989" s="21" t="n"/>
      <c r="C989" s="21" t="n"/>
      <c r="D989" s="21" t="n"/>
      <c r="E989" s="21" t="n"/>
    </row>
    <row r="990">
      <c r="A990" s="24" t="n"/>
      <c r="B990" s="21" t="n"/>
      <c r="C990" s="21" t="n"/>
      <c r="D990" s="21" t="n"/>
      <c r="E990" s="21" t="n"/>
    </row>
    <row r="991">
      <c r="A991" s="24" t="n"/>
      <c r="B991" s="21" t="n"/>
      <c r="C991" s="21" t="n"/>
      <c r="D991" s="21" t="n"/>
      <c r="E991" s="21" t="n"/>
    </row>
    <row r="992">
      <c r="A992" s="24" t="n"/>
      <c r="B992" s="21" t="n"/>
      <c r="C992" s="21" t="n"/>
      <c r="D992" s="21" t="n"/>
      <c r="E992" s="21" t="n"/>
    </row>
    <row r="993">
      <c r="A993" s="24" t="n"/>
      <c r="B993" s="21" t="n"/>
      <c r="C993" s="21" t="n"/>
      <c r="D993" s="21" t="n"/>
      <c r="E993" s="21" t="n"/>
    </row>
    <row r="994">
      <c r="A994" s="24" t="n"/>
      <c r="B994" s="21" t="n"/>
      <c r="C994" s="21" t="n"/>
      <c r="D994" s="21" t="n"/>
      <c r="E994" s="21" t="n"/>
    </row>
    <row r="995">
      <c r="A995" s="24" t="n"/>
      <c r="B995" s="21" t="n"/>
      <c r="C995" s="21" t="n"/>
      <c r="D995" s="21" t="n"/>
      <c r="E995" s="21" t="n"/>
    </row>
    <row r="996">
      <c r="A996" s="24" t="n"/>
      <c r="B996" s="21" t="n"/>
      <c r="C996" s="21" t="n"/>
      <c r="D996" s="21" t="n"/>
      <c r="E996" s="21" t="n"/>
    </row>
    <row r="997">
      <c r="A997" s="24" t="n"/>
      <c r="B997" s="21" t="n"/>
      <c r="C997" s="21" t="n"/>
      <c r="D997" s="21" t="n"/>
      <c r="E997" s="21" t="n"/>
    </row>
    <row r="998">
      <c r="A998" s="24" t="n"/>
      <c r="B998" s="21" t="n"/>
      <c r="C998" s="21" t="n"/>
      <c r="D998" s="21" t="n"/>
      <c r="E998" s="21" t="n"/>
    </row>
    <row r="999">
      <c r="A999" s="24" t="n"/>
      <c r="B999" s="21" t="n"/>
      <c r="C999" s="21" t="n"/>
      <c r="D999" s="21" t="n"/>
      <c r="E999" s="21" t="n"/>
    </row>
    <row r="1000">
      <c r="A1000" s="24" t="n"/>
      <c r="B1000" s="21" t="n"/>
      <c r="C1000" s="21" t="n"/>
      <c r="D1000" s="21" t="n"/>
      <c r="E1000" s="21" t="n"/>
    </row>
    <row r="1001">
      <c r="A1001" s="24" t="n"/>
      <c r="B1001" s="21" t="n"/>
      <c r="C1001" s="21" t="n"/>
      <c r="D1001" s="21" t="n"/>
      <c r="E1001" s="21" t="n"/>
    </row>
    <row r="1002">
      <c r="A1002" s="24" t="n"/>
      <c r="B1002" s="21" t="n"/>
      <c r="C1002" s="21" t="n"/>
      <c r="D1002" s="21" t="n"/>
      <c r="E1002" s="21" t="n"/>
    </row>
    <row r="1003">
      <c r="A1003" s="24" t="n"/>
      <c r="B1003" s="21" t="n"/>
      <c r="C1003" s="21" t="n"/>
      <c r="D1003" s="21" t="n"/>
      <c r="E1003" s="21" t="n"/>
    </row>
    <row r="1004">
      <c r="A1004" s="24" t="n"/>
      <c r="B1004" s="21" t="n"/>
      <c r="C1004" s="21" t="n"/>
      <c r="D1004" s="21" t="n"/>
      <c r="E1004" s="21" t="n"/>
    </row>
  </sheetData>
  <dataValidations count="1">
    <dataValidation sqref="C5:C1004" showDropDown="0" showInputMessage="0" showErrorMessage="1" allowBlank="1" error="请从下拉列表中选择" type="list">
      <formula1>参数!$K$5:$K$15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11" customWidth="1" min="4" max="4"/>
    <col width="11" customWidth="1" min="5" max="5"/>
    <col width="36" customWidth="1" min="6" max="6"/>
  </cols>
  <sheetData>
    <row r="1">
      <c r="A1" s="1" t="inlineStr">
        <is>
          <t>现金支出记录</t>
        </is>
      </c>
    </row>
    <row r="2">
      <c r="A2" s="2" t="inlineStr">
        <is>
          <t>按实际账单记录。已包含在固定订阅内的用量不再按客户重复计入（F01 10.4）。增量支出请填关联企业编号。</t>
        </is>
      </c>
    </row>
    <row r="4" ht="32" customHeight="1">
      <c r="A4" s="8" t="inlineStr">
        <is>
          <t>日期</t>
        </is>
      </c>
      <c r="B4" s="8" t="inlineStr">
        <is>
          <t>类别</t>
        </is>
      </c>
      <c r="C4" s="8" t="inlineStr">
        <is>
          <t>固定/增量</t>
        </is>
      </c>
      <c r="D4" s="8" t="inlineStr">
        <is>
          <t>关联企业编号</t>
        </is>
      </c>
      <c r="E4" s="8" t="inlineStr">
        <is>
          <t>金额(元)</t>
        </is>
      </c>
      <c r="F4" s="8" t="inlineStr">
        <is>
          <t>说明/凭证</t>
        </is>
      </c>
    </row>
    <row r="5">
      <c r="A5" s="22" t="n">
        <v>46296</v>
      </c>
      <c r="B5" s="20" t="inlineStr">
        <is>
          <t>AI与模型订阅</t>
        </is>
      </c>
      <c r="C5" s="20" t="inlineStr">
        <is>
          <t>固定</t>
        </is>
      </c>
      <c r="D5" s="21" t="n"/>
      <c r="E5" s="25" t="n">
        <v>200</v>
      </c>
      <c r="F5" s="20" t="inlineStr">
        <is>
          <t>示例：大模型API月度预充值</t>
        </is>
      </c>
    </row>
    <row r="6">
      <c r="A6" s="22" t="n">
        <v>46310</v>
      </c>
      <c r="B6" s="20" t="inlineStr">
        <is>
          <t>交通</t>
        </is>
      </c>
      <c r="C6" s="20" t="inlineStr">
        <is>
          <t>增量</t>
        </is>
      </c>
      <c r="D6" s="20" t="inlineStr">
        <is>
          <t>示例-01</t>
        </is>
      </c>
      <c r="E6" s="25" t="n">
        <v>30</v>
      </c>
      <c r="F6" s="20" t="inlineStr">
        <is>
          <t>示例：上门访谈往返</t>
        </is>
      </c>
    </row>
    <row r="7">
      <c r="A7" s="24" t="n"/>
      <c r="B7" s="21" t="n"/>
      <c r="C7" s="21" t="n"/>
      <c r="D7" s="21" t="n"/>
      <c r="E7" s="26" t="n"/>
      <c r="F7" s="21" t="n"/>
    </row>
    <row r="8">
      <c r="A8" s="24" t="n"/>
      <c r="B8" s="21" t="n"/>
      <c r="C8" s="21" t="n"/>
      <c r="D8" s="21" t="n"/>
      <c r="E8" s="26" t="n"/>
      <c r="F8" s="21" t="n"/>
    </row>
    <row r="9">
      <c r="A9" s="24" t="n"/>
      <c r="B9" s="21" t="n"/>
      <c r="C9" s="21" t="n"/>
      <c r="D9" s="21" t="n"/>
      <c r="E9" s="26" t="n"/>
      <c r="F9" s="21" t="n"/>
    </row>
    <row r="10">
      <c r="A10" s="24" t="n"/>
      <c r="B10" s="21" t="n"/>
      <c r="C10" s="21" t="n"/>
      <c r="D10" s="21" t="n"/>
      <c r="E10" s="26" t="n"/>
      <c r="F10" s="21" t="n"/>
    </row>
    <row r="11">
      <c r="A11" s="24" t="n"/>
      <c r="B11" s="21" t="n"/>
      <c r="C11" s="21" t="n"/>
      <c r="D11" s="21" t="n"/>
      <c r="E11" s="26" t="n"/>
      <c r="F11" s="21" t="n"/>
    </row>
    <row r="12">
      <c r="A12" s="24" t="n"/>
      <c r="B12" s="21" t="n"/>
      <c r="C12" s="21" t="n"/>
      <c r="D12" s="21" t="n"/>
      <c r="E12" s="26" t="n"/>
      <c r="F12" s="21" t="n"/>
    </row>
    <row r="13">
      <c r="A13" s="24" t="n"/>
      <c r="B13" s="21" t="n"/>
      <c r="C13" s="21" t="n"/>
      <c r="D13" s="21" t="n"/>
      <c r="E13" s="26" t="n"/>
      <c r="F13" s="21" t="n"/>
    </row>
    <row r="14">
      <c r="A14" s="24" t="n"/>
      <c r="B14" s="21" t="n"/>
      <c r="C14" s="21" t="n"/>
      <c r="D14" s="21" t="n"/>
      <c r="E14" s="26" t="n"/>
      <c r="F14" s="21" t="n"/>
    </row>
    <row r="15">
      <c r="A15" s="24" t="n"/>
      <c r="B15" s="21" t="n"/>
      <c r="C15" s="21" t="n"/>
      <c r="D15" s="21" t="n"/>
      <c r="E15" s="26" t="n"/>
      <c r="F15" s="21" t="n"/>
    </row>
    <row r="16">
      <c r="A16" s="24" t="n"/>
      <c r="B16" s="21" t="n"/>
      <c r="C16" s="21" t="n"/>
      <c r="D16" s="21" t="n"/>
      <c r="E16" s="26" t="n"/>
      <c r="F16" s="21" t="n"/>
    </row>
    <row r="17">
      <c r="A17" s="24" t="n"/>
      <c r="B17" s="21" t="n"/>
      <c r="C17" s="21" t="n"/>
      <c r="D17" s="21" t="n"/>
      <c r="E17" s="26" t="n"/>
      <c r="F17" s="21" t="n"/>
    </row>
    <row r="18">
      <c r="A18" s="24" t="n"/>
      <c r="B18" s="21" t="n"/>
      <c r="C18" s="21" t="n"/>
      <c r="D18" s="21" t="n"/>
      <c r="E18" s="26" t="n"/>
      <c r="F18" s="21" t="n"/>
    </row>
    <row r="19">
      <c r="A19" s="24" t="n"/>
      <c r="B19" s="21" t="n"/>
      <c r="C19" s="21" t="n"/>
      <c r="D19" s="21" t="n"/>
      <c r="E19" s="26" t="n"/>
      <c r="F19" s="21" t="n"/>
    </row>
    <row r="20">
      <c r="A20" s="24" t="n"/>
      <c r="B20" s="21" t="n"/>
      <c r="C20" s="21" t="n"/>
      <c r="D20" s="21" t="n"/>
      <c r="E20" s="26" t="n"/>
      <c r="F20" s="21" t="n"/>
    </row>
    <row r="21">
      <c r="A21" s="24" t="n"/>
      <c r="B21" s="21" t="n"/>
      <c r="C21" s="21" t="n"/>
      <c r="D21" s="21" t="n"/>
      <c r="E21" s="26" t="n"/>
      <c r="F21" s="21" t="n"/>
    </row>
    <row r="22">
      <c r="A22" s="24" t="n"/>
      <c r="B22" s="21" t="n"/>
      <c r="C22" s="21" t="n"/>
      <c r="D22" s="21" t="n"/>
      <c r="E22" s="26" t="n"/>
      <c r="F22" s="21" t="n"/>
    </row>
    <row r="23">
      <c r="A23" s="24" t="n"/>
      <c r="B23" s="21" t="n"/>
      <c r="C23" s="21" t="n"/>
      <c r="D23" s="21" t="n"/>
      <c r="E23" s="26" t="n"/>
      <c r="F23" s="21" t="n"/>
    </row>
    <row r="24">
      <c r="A24" s="24" t="n"/>
      <c r="B24" s="21" t="n"/>
      <c r="C24" s="21" t="n"/>
      <c r="D24" s="21" t="n"/>
      <c r="E24" s="26" t="n"/>
      <c r="F24" s="21" t="n"/>
    </row>
    <row r="25">
      <c r="A25" s="24" t="n"/>
      <c r="B25" s="21" t="n"/>
      <c r="C25" s="21" t="n"/>
      <c r="D25" s="21" t="n"/>
      <c r="E25" s="26" t="n"/>
      <c r="F25" s="21" t="n"/>
    </row>
    <row r="26">
      <c r="A26" s="24" t="n"/>
      <c r="B26" s="21" t="n"/>
      <c r="C26" s="21" t="n"/>
      <c r="D26" s="21" t="n"/>
      <c r="E26" s="26" t="n"/>
      <c r="F26" s="21" t="n"/>
    </row>
    <row r="27">
      <c r="A27" s="24" t="n"/>
      <c r="B27" s="21" t="n"/>
      <c r="C27" s="21" t="n"/>
      <c r="D27" s="21" t="n"/>
      <c r="E27" s="26" t="n"/>
      <c r="F27" s="21" t="n"/>
    </row>
    <row r="28">
      <c r="A28" s="24" t="n"/>
      <c r="B28" s="21" t="n"/>
      <c r="C28" s="21" t="n"/>
      <c r="D28" s="21" t="n"/>
      <c r="E28" s="26" t="n"/>
      <c r="F28" s="21" t="n"/>
    </row>
    <row r="29">
      <c r="A29" s="24" t="n"/>
      <c r="B29" s="21" t="n"/>
      <c r="C29" s="21" t="n"/>
      <c r="D29" s="21" t="n"/>
      <c r="E29" s="26" t="n"/>
      <c r="F29" s="21" t="n"/>
    </row>
    <row r="30">
      <c r="A30" s="24" t="n"/>
      <c r="B30" s="21" t="n"/>
      <c r="C30" s="21" t="n"/>
      <c r="D30" s="21" t="n"/>
      <c r="E30" s="26" t="n"/>
      <c r="F30" s="21" t="n"/>
    </row>
    <row r="31">
      <c r="A31" s="24" t="n"/>
      <c r="B31" s="21" t="n"/>
      <c r="C31" s="21" t="n"/>
      <c r="D31" s="21" t="n"/>
      <c r="E31" s="26" t="n"/>
      <c r="F31" s="21" t="n"/>
    </row>
    <row r="32">
      <c r="A32" s="24" t="n"/>
      <c r="B32" s="21" t="n"/>
      <c r="C32" s="21" t="n"/>
      <c r="D32" s="21" t="n"/>
      <c r="E32" s="26" t="n"/>
      <c r="F32" s="21" t="n"/>
    </row>
    <row r="33">
      <c r="A33" s="24" t="n"/>
      <c r="B33" s="21" t="n"/>
      <c r="C33" s="21" t="n"/>
      <c r="D33" s="21" t="n"/>
      <c r="E33" s="26" t="n"/>
      <c r="F33" s="21" t="n"/>
    </row>
    <row r="34">
      <c r="A34" s="24" t="n"/>
      <c r="B34" s="21" t="n"/>
      <c r="C34" s="21" t="n"/>
      <c r="D34" s="21" t="n"/>
      <c r="E34" s="26" t="n"/>
      <c r="F34" s="21" t="n"/>
    </row>
    <row r="35">
      <c r="A35" s="24" t="n"/>
      <c r="B35" s="21" t="n"/>
      <c r="C35" s="21" t="n"/>
      <c r="D35" s="21" t="n"/>
      <c r="E35" s="26" t="n"/>
      <c r="F35" s="21" t="n"/>
    </row>
    <row r="36">
      <c r="A36" s="24" t="n"/>
      <c r="B36" s="21" t="n"/>
      <c r="C36" s="21" t="n"/>
      <c r="D36" s="21" t="n"/>
      <c r="E36" s="26" t="n"/>
      <c r="F36" s="21" t="n"/>
    </row>
    <row r="37">
      <c r="A37" s="24" t="n"/>
      <c r="B37" s="21" t="n"/>
      <c r="C37" s="21" t="n"/>
      <c r="D37" s="21" t="n"/>
      <c r="E37" s="26" t="n"/>
      <c r="F37" s="21" t="n"/>
    </row>
    <row r="38">
      <c r="A38" s="24" t="n"/>
      <c r="B38" s="21" t="n"/>
      <c r="C38" s="21" t="n"/>
      <c r="D38" s="21" t="n"/>
      <c r="E38" s="26" t="n"/>
      <c r="F38" s="21" t="n"/>
    </row>
    <row r="39">
      <c r="A39" s="24" t="n"/>
      <c r="B39" s="21" t="n"/>
      <c r="C39" s="21" t="n"/>
      <c r="D39" s="21" t="n"/>
      <c r="E39" s="26" t="n"/>
      <c r="F39" s="21" t="n"/>
    </row>
    <row r="40">
      <c r="A40" s="24" t="n"/>
      <c r="B40" s="21" t="n"/>
      <c r="C40" s="21" t="n"/>
      <c r="D40" s="21" t="n"/>
      <c r="E40" s="26" t="n"/>
      <c r="F40" s="21" t="n"/>
    </row>
    <row r="41">
      <c r="A41" s="24" t="n"/>
      <c r="B41" s="21" t="n"/>
      <c r="C41" s="21" t="n"/>
      <c r="D41" s="21" t="n"/>
      <c r="E41" s="26" t="n"/>
      <c r="F41" s="21" t="n"/>
    </row>
    <row r="42">
      <c r="A42" s="24" t="n"/>
      <c r="B42" s="21" t="n"/>
      <c r="C42" s="21" t="n"/>
      <c r="D42" s="21" t="n"/>
      <c r="E42" s="26" t="n"/>
      <c r="F42" s="21" t="n"/>
    </row>
    <row r="43">
      <c r="A43" s="24" t="n"/>
      <c r="B43" s="21" t="n"/>
      <c r="C43" s="21" t="n"/>
      <c r="D43" s="21" t="n"/>
      <c r="E43" s="26" t="n"/>
      <c r="F43" s="21" t="n"/>
    </row>
    <row r="44">
      <c r="A44" s="24" t="n"/>
      <c r="B44" s="21" t="n"/>
      <c r="C44" s="21" t="n"/>
      <c r="D44" s="21" t="n"/>
      <c r="E44" s="26" t="n"/>
      <c r="F44" s="21" t="n"/>
    </row>
    <row r="45">
      <c r="A45" s="24" t="n"/>
      <c r="B45" s="21" t="n"/>
      <c r="C45" s="21" t="n"/>
      <c r="D45" s="21" t="n"/>
      <c r="E45" s="26" t="n"/>
      <c r="F45" s="21" t="n"/>
    </row>
    <row r="46">
      <c r="A46" s="24" t="n"/>
      <c r="B46" s="21" t="n"/>
      <c r="C46" s="21" t="n"/>
      <c r="D46" s="21" t="n"/>
      <c r="E46" s="26" t="n"/>
      <c r="F46" s="21" t="n"/>
    </row>
    <row r="47">
      <c r="A47" s="24" t="n"/>
      <c r="B47" s="21" t="n"/>
      <c r="C47" s="21" t="n"/>
      <c r="D47" s="21" t="n"/>
      <c r="E47" s="26" t="n"/>
      <c r="F47" s="21" t="n"/>
    </row>
    <row r="48">
      <c r="A48" s="24" t="n"/>
      <c r="B48" s="21" t="n"/>
      <c r="C48" s="21" t="n"/>
      <c r="D48" s="21" t="n"/>
      <c r="E48" s="26" t="n"/>
      <c r="F48" s="21" t="n"/>
    </row>
    <row r="49">
      <c r="A49" s="24" t="n"/>
      <c r="B49" s="21" t="n"/>
      <c r="C49" s="21" t="n"/>
      <c r="D49" s="21" t="n"/>
      <c r="E49" s="26" t="n"/>
      <c r="F49" s="21" t="n"/>
    </row>
    <row r="50">
      <c r="A50" s="24" t="n"/>
      <c r="B50" s="21" t="n"/>
      <c r="C50" s="21" t="n"/>
      <c r="D50" s="21" t="n"/>
      <c r="E50" s="26" t="n"/>
      <c r="F50" s="21" t="n"/>
    </row>
    <row r="51">
      <c r="A51" s="24" t="n"/>
      <c r="B51" s="21" t="n"/>
      <c r="C51" s="21" t="n"/>
      <c r="D51" s="21" t="n"/>
      <c r="E51" s="26" t="n"/>
      <c r="F51" s="21" t="n"/>
    </row>
    <row r="52">
      <c r="A52" s="24" t="n"/>
      <c r="B52" s="21" t="n"/>
      <c r="C52" s="21" t="n"/>
      <c r="D52" s="21" t="n"/>
      <c r="E52" s="26" t="n"/>
      <c r="F52" s="21" t="n"/>
    </row>
    <row r="53">
      <c r="A53" s="24" t="n"/>
      <c r="B53" s="21" t="n"/>
      <c r="C53" s="21" t="n"/>
      <c r="D53" s="21" t="n"/>
      <c r="E53" s="26" t="n"/>
      <c r="F53" s="21" t="n"/>
    </row>
    <row r="54">
      <c r="A54" s="24" t="n"/>
      <c r="B54" s="21" t="n"/>
      <c r="C54" s="21" t="n"/>
      <c r="D54" s="21" t="n"/>
      <c r="E54" s="26" t="n"/>
      <c r="F54" s="21" t="n"/>
    </row>
    <row r="55">
      <c r="A55" s="24" t="n"/>
      <c r="B55" s="21" t="n"/>
      <c r="C55" s="21" t="n"/>
      <c r="D55" s="21" t="n"/>
      <c r="E55" s="26" t="n"/>
      <c r="F55" s="21" t="n"/>
    </row>
    <row r="56">
      <c r="A56" s="24" t="n"/>
      <c r="B56" s="21" t="n"/>
      <c r="C56" s="21" t="n"/>
      <c r="D56" s="21" t="n"/>
      <c r="E56" s="26" t="n"/>
      <c r="F56" s="21" t="n"/>
    </row>
    <row r="57">
      <c r="A57" s="24" t="n"/>
      <c r="B57" s="21" t="n"/>
      <c r="C57" s="21" t="n"/>
      <c r="D57" s="21" t="n"/>
      <c r="E57" s="26" t="n"/>
      <c r="F57" s="21" t="n"/>
    </row>
    <row r="58">
      <c r="A58" s="24" t="n"/>
      <c r="B58" s="21" t="n"/>
      <c r="C58" s="21" t="n"/>
      <c r="D58" s="21" t="n"/>
      <c r="E58" s="26" t="n"/>
      <c r="F58" s="21" t="n"/>
    </row>
    <row r="59">
      <c r="A59" s="24" t="n"/>
      <c r="B59" s="21" t="n"/>
      <c r="C59" s="21" t="n"/>
      <c r="D59" s="21" t="n"/>
      <c r="E59" s="26" t="n"/>
      <c r="F59" s="21" t="n"/>
    </row>
    <row r="60">
      <c r="A60" s="24" t="n"/>
      <c r="B60" s="21" t="n"/>
      <c r="C60" s="21" t="n"/>
      <c r="D60" s="21" t="n"/>
      <c r="E60" s="26" t="n"/>
      <c r="F60" s="21" t="n"/>
    </row>
    <row r="61">
      <c r="A61" s="24" t="n"/>
      <c r="B61" s="21" t="n"/>
      <c r="C61" s="21" t="n"/>
      <c r="D61" s="21" t="n"/>
      <c r="E61" s="26" t="n"/>
      <c r="F61" s="21" t="n"/>
    </row>
    <row r="62">
      <c r="A62" s="24" t="n"/>
      <c r="B62" s="21" t="n"/>
      <c r="C62" s="21" t="n"/>
      <c r="D62" s="21" t="n"/>
      <c r="E62" s="26" t="n"/>
      <c r="F62" s="21" t="n"/>
    </row>
    <row r="63">
      <c r="A63" s="24" t="n"/>
      <c r="B63" s="21" t="n"/>
      <c r="C63" s="21" t="n"/>
      <c r="D63" s="21" t="n"/>
      <c r="E63" s="26" t="n"/>
      <c r="F63" s="21" t="n"/>
    </row>
    <row r="64">
      <c r="A64" s="24" t="n"/>
      <c r="B64" s="21" t="n"/>
      <c r="C64" s="21" t="n"/>
      <c r="D64" s="21" t="n"/>
      <c r="E64" s="26" t="n"/>
      <c r="F64" s="21" t="n"/>
    </row>
    <row r="65">
      <c r="A65" s="24" t="n"/>
      <c r="B65" s="21" t="n"/>
      <c r="C65" s="21" t="n"/>
      <c r="D65" s="21" t="n"/>
      <c r="E65" s="26" t="n"/>
      <c r="F65" s="21" t="n"/>
    </row>
    <row r="66">
      <c r="A66" s="24" t="n"/>
      <c r="B66" s="21" t="n"/>
      <c r="C66" s="21" t="n"/>
      <c r="D66" s="21" t="n"/>
      <c r="E66" s="26" t="n"/>
      <c r="F66" s="21" t="n"/>
    </row>
    <row r="67">
      <c r="A67" s="24" t="n"/>
      <c r="B67" s="21" t="n"/>
      <c r="C67" s="21" t="n"/>
      <c r="D67" s="21" t="n"/>
      <c r="E67" s="26" t="n"/>
      <c r="F67" s="21" t="n"/>
    </row>
    <row r="68">
      <c r="A68" s="24" t="n"/>
      <c r="B68" s="21" t="n"/>
      <c r="C68" s="21" t="n"/>
      <c r="D68" s="21" t="n"/>
      <c r="E68" s="26" t="n"/>
      <c r="F68" s="21" t="n"/>
    </row>
    <row r="69">
      <c r="A69" s="24" t="n"/>
      <c r="B69" s="21" t="n"/>
      <c r="C69" s="21" t="n"/>
      <c r="D69" s="21" t="n"/>
      <c r="E69" s="26" t="n"/>
      <c r="F69" s="21" t="n"/>
    </row>
    <row r="70">
      <c r="A70" s="24" t="n"/>
      <c r="B70" s="21" t="n"/>
      <c r="C70" s="21" t="n"/>
      <c r="D70" s="21" t="n"/>
      <c r="E70" s="26" t="n"/>
      <c r="F70" s="21" t="n"/>
    </row>
    <row r="71">
      <c r="A71" s="24" t="n"/>
      <c r="B71" s="21" t="n"/>
      <c r="C71" s="21" t="n"/>
      <c r="D71" s="21" t="n"/>
      <c r="E71" s="26" t="n"/>
      <c r="F71" s="21" t="n"/>
    </row>
    <row r="72">
      <c r="A72" s="24" t="n"/>
      <c r="B72" s="21" t="n"/>
      <c r="C72" s="21" t="n"/>
      <c r="D72" s="21" t="n"/>
      <c r="E72" s="26" t="n"/>
      <c r="F72" s="21" t="n"/>
    </row>
    <row r="73">
      <c r="A73" s="24" t="n"/>
      <c r="B73" s="21" t="n"/>
      <c r="C73" s="21" t="n"/>
      <c r="D73" s="21" t="n"/>
      <c r="E73" s="26" t="n"/>
      <c r="F73" s="21" t="n"/>
    </row>
    <row r="74">
      <c r="A74" s="24" t="n"/>
      <c r="B74" s="21" t="n"/>
      <c r="C74" s="21" t="n"/>
      <c r="D74" s="21" t="n"/>
      <c r="E74" s="26" t="n"/>
      <c r="F74" s="21" t="n"/>
    </row>
    <row r="75">
      <c r="A75" s="24" t="n"/>
      <c r="B75" s="21" t="n"/>
      <c r="C75" s="21" t="n"/>
      <c r="D75" s="21" t="n"/>
      <c r="E75" s="26" t="n"/>
      <c r="F75" s="21" t="n"/>
    </row>
    <row r="76">
      <c r="A76" s="24" t="n"/>
      <c r="B76" s="21" t="n"/>
      <c r="C76" s="21" t="n"/>
      <c r="D76" s="21" t="n"/>
      <c r="E76" s="26" t="n"/>
      <c r="F76" s="21" t="n"/>
    </row>
    <row r="77">
      <c r="A77" s="24" t="n"/>
      <c r="B77" s="21" t="n"/>
      <c r="C77" s="21" t="n"/>
      <c r="D77" s="21" t="n"/>
      <c r="E77" s="26" t="n"/>
      <c r="F77" s="21" t="n"/>
    </row>
    <row r="78">
      <c r="A78" s="24" t="n"/>
      <c r="B78" s="21" t="n"/>
      <c r="C78" s="21" t="n"/>
      <c r="D78" s="21" t="n"/>
      <c r="E78" s="26" t="n"/>
      <c r="F78" s="21" t="n"/>
    </row>
    <row r="79">
      <c r="A79" s="24" t="n"/>
      <c r="B79" s="21" t="n"/>
      <c r="C79" s="21" t="n"/>
      <c r="D79" s="21" t="n"/>
      <c r="E79" s="26" t="n"/>
      <c r="F79" s="21" t="n"/>
    </row>
    <row r="80">
      <c r="A80" s="24" t="n"/>
      <c r="B80" s="21" t="n"/>
      <c r="C80" s="21" t="n"/>
      <c r="D80" s="21" t="n"/>
      <c r="E80" s="26" t="n"/>
      <c r="F80" s="21" t="n"/>
    </row>
    <row r="81">
      <c r="A81" s="24" t="n"/>
      <c r="B81" s="21" t="n"/>
      <c r="C81" s="21" t="n"/>
      <c r="D81" s="21" t="n"/>
      <c r="E81" s="26" t="n"/>
      <c r="F81" s="21" t="n"/>
    </row>
    <row r="82">
      <c r="A82" s="24" t="n"/>
      <c r="B82" s="21" t="n"/>
      <c r="C82" s="21" t="n"/>
      <c r="D82" s="21" t="n"/>
      <c r="E82" s="26" t="n"/>
      <c r="F82" s="21" t="n"/>
    </row>
    <row r="83">
      <c r="A83" s="24" t="n"/>
      <c r="B83" s="21" t="n"/>
      <c r="C83" s="21" t="n"/>
      <c r="D83" s="21" t="n"/>
      <c r="E83" s="26" t="n"/>
      <c r="F83" s="21" t="n"/>
    </row>
    <row r="84">
      <c r="A84" s="24" t="n"/>
      <c r="B84" s="21" t="n"/>
      <c r="C84" s="21" t="n"/>
      <c r="D84" s="21" t="n"/>
      <c r="E84" s="26" t="n"/>
      <c r="F84" s="21" t="n"/>
    </row>
    <row r="85">
      <c r="A85" s="24" t="n"/>
      <c r="B85" s="21" t="n"/>
      <c r="C85" s="21" t="n"/>
      <c r="D85" s="21" t="n"/>
      <c r="E85" s="26" t="n"/>
      <c r="F85" s="21" t="n"/>
    </row>
    <row r="86">
      <c r="A86" s="24" t="n"/>
      <c r="B86" s="21" t="n"/>
      <c r="C86" s="21" t="n"/>
      <c r="D86" s="21" t="n"/>
      <c r="E86" s="26" t="n"/>
      <c r="F86" s="21" t="n"/>
    </row>
    <row r="87">
      <c r="A87" s="24" t="n"/>
      <c r="B87" s="21" t="n"/>
      <c r="C87" s="21" t="n"/>
      <c r="D87" s="21" t="n"/>
      <c r="E87" s="26" t="n"/>
      <c r="F87" s="21" t="n"/>
    </row>
    <row r="88">
      <c r="A88" s="24" t="n"/>
      <c r="B88" s="21" t="n"/>
      <c r="C88" s="21" t="n"/>
      <c r="D88" s="21" t="n"/>
      <c r="E88" s="26" t="n"/>
      <c r="F88" s="21" t="n"/>
    </row>
    <row r="89">
      <c r="A89" s="24" t="n"/>
      <c r="B89" s="21" t="n"/>
      <c r="C89" s="21" t="n"/>
      <c r="D89" s="21" t="n"/>
      <c r="E89" s="26" t="n"/>
      <c r="F89" s="21" t="n"/>
    </row>
    <row r="90">
      <c r="A90" s="24" t="n"/>
      <c r="B90" s="21" t="n"/>
      <c r="C90" s="21" t="n"/>
      <c r="D90" s="21" t="n"/>
      <c r="E90" s="26" t="n"/>
      <c r="F90" s="21" t="n"/>
    </row>
    <row r="91">
      <c r="A91" s="24" t="n"/>
      <c r="B91" s="21" t="n"/>
      <c r="C91" s="21" t="n"/>
      <c r="D91" s="21" t="n"/>
      <c r="E91" s="26" t="n"/>
      <c r="F91" s="21" t="n"/>
    </row>
    <row r="92">
      <c r="A92" s="24" t="n"/>
      <c r="B92" s="21" t="n"/>
      <c r="C92" s="21" t="n"/>
      <c r="D92" s="21" t="n"/>
      <c r="E92" s="26" t="n"/>
      <c r="F92" s="21" t="n"/>
    </row>
    <row r="93">
      <c r="A93" s="24" t="n"/>
      <c r="B93" s="21" t="n"/>
      <c r="C93" s="21" t="n"/>
      <c r="D93" s="21" t="n"/>
      <c r="E93" s="26" t="n"/>
      <c r="F93" s="21" t="n"/>
    </row>
    <row r="94">
      <c r="A94" s="24" t="n"/>
      <c r="B94" s="21" t="n"/>
      <c r="C94" s="21" t="n"/>
      <c r="D94" s="21" t="n"/>
      <c r="E94" s="26" t="n"/>
      <c r="F94" s="21" t="n"/>
    </row>
    <row r="95">
      <c r="A95" s="24" t="n"/>
      <c r="B95" s="21" t="n"/>
      <c r="C95" s="21" t="n"/>
      <c r="D95" s="21" t="n"/>
      <c r="E95" s="26" t="n"/>
      <c r="F95" s="21" t="n"/>
    </row>
    <row r="96">
      <c r="A96" s="24" t="n"/>
      <c r="B96" s="21" t="n"/>
      <c r="C96" s="21" t="n"/>
      <c r="D96" s="21" t="n"/>
      <c r="E96" s="26" t="n"/>
      <c r="F96" s="21" t="n"/>
    </row>
    <row r="97">
      <c r="A97" s="24" t="n"/>
      <c r="B97" s="21" t="n"/>
      <c r="C97" s="21" t="n"/>
      <c r="D97" s="21" t="n"/>
      <c r="E97" s="26" t="n"/>
      <c r="F97" s="21" t="n"/>
    </row>
    <row r="98">
      <c r="A98" s="24" t="n"/>
      <c r="B98" s="21" t="n"/>
      <c r="C98" s="21" t="n"/>
      <c r="D98" s="21" t="n"/>
      <c r="E98" s="26" t="n"/>
      <c r="F98" s="21" t="n"/>
    </row>
    <row r="99">
      <c r="A99" s="24" t="n"/>
      <c r="B99" s="21" t="n"/>
      <c r="C99" s="21" t="n"/>
      <c r="D99" s="21" t="n"/>
      <c r="E99" s="26" t="n"/>
      <c r="F99" s="21" t="n"/>
    </row>
    <row r="100">
      <c r="A100" s="24" t="n"/>
      <c r="B100" s="21" t="n"/>
      <c r="C100" s="21" t="n"/>
      <c r="D100" s="21" t="n"/>
      <c r="E100" s="26" t="n"/>
      <c r="F100" s="21" t="n"/>
    </row>
    <row r="101">
      <c r="A101" s="24" t="n"/>
      <c r="B101" s="21" t="n"/>
      <c r="C101" s="21" t="n"/>
      <c r="D101" s="21" t="n"/>
      <c r="E101" s="26" t="n"/>
      <c r="F101" s="21" t="n"/>
    </row>
    <row r="102">
      <c r="A102" s="24" t="n"/>
      <c r="B102" s="21" t="n"/>
      <c r="C102" s="21" t="n"/>
      <c r="D102" s="21" t="n"/>
      <c r="E102" s="26" t="n"/>
      <c r="F102" s="21" t="n"/>
    </row>
    <row r="103">
      <c r="A103" s="24" t="n"/>
      <c r="B103" s="21" t="n"/>
      <c r="C103" s="21" t="n"/>
      <c r="D103" s="21" t="n"/>
      <c r="E103" s="26" t="n"/>
      <c r="F103" s="21" t="n"/>
    </row>
    <row r="104">
      <c r="A104" s="24" t="n"/>
      <c r="B104" s="21" t="n"/>
      <c r="C104" s="21" t="n"/>
      <c r="D104" s="21" t="n"/>
      <c r="E104" s="26" t="n"/>
      <c r="F104" s="21" t="n"/>
    </row>
    <row r="105">
      <c r="A105" s="24" t="n"/>
      <c r="B105" s="21" t="n"/>
      <c r="C105" s="21" t="n"/>
      <c r="D105" s="21" t="n"/>
      <c r="E105" s="26" t="n"/>
      <c r="F105" s="21" t="n"/>
    </row>
    <row r="106">
      <c r="A106" s="24" t="n"/>
      <c r="B106" s="21" t="n"/>
      <c r="C106" s="21" t="n"/>
      <c r="D106" s="21" t="n"/>
      <c r="E106" s="26" t="n"/>
      <c r="F106" s="21" t="n"/>
    </row>
    <row r="107">
      <c r="A107" s="24" t="n"/>
      <c r="B107" s="21" t="n"/>
      <c r="C107" s="21" t="n"/>
      <c r="D107" s="21" t="n"/>
      <c r="E107" s="26" t="n"/>
      <c r="F107" s="21" t="n"/>
    </row>
    <row r="108">
      <c r="A108" s="24" t="n"/>
      <c r="B108" s="21" t="n"/>
      <c r="C108" s="21" t="n"/>
      <c r="D108" s="21" t="n"/>
      <c r="E108" s="26" t="n"/>
      <c r="F108" s="21" t="n"/>
    </row>
    <row r="109">
      <c r="A109" s="24" t="n"/>
      <c r="B109" s="21" t="n"/>
      <c r="C109" s="21" t="n"/>
      <c r="D109" s="21" t="n"/>
      <c r="E109" s="26" t="n"/>
      <c r="F109" s="21" t="n"/>
    </row>
    <row r="110">
      <c r="A110" s="24" t="n"/>
      <c r="B110" s="21" t="n"/>
      <c r="C110" s="21" t="n"/>
      <c r="D110" s="21" t="n"/>
      <c r="E110" s="26" t="n"/>
      <c r="F110" s="21" t="n"/>
    </row>
    <row r="111">
      <c r="A111" s="24" t="n"/>
      <c r="B111" s="21" t="n"/>
      <c r="C111" s="21" t="n"/>
      <c r="D111" s="21" t="n"/>
      <c r="E111" s="26" t="n"/>
      <c r="F111" s="21" t="n"/>
    </row>
    <row r="112">
      <c r="A112" s="24" t="n"/>
      <c r="B112" s="21" t="n"/>
      <c r="C112" s="21" t="n"/>
      <c r="D112" s="21" t="n"/>
      <c r="E112" s="26" t="n"/>
      <c r="F112" s="21" t="n"/>
    </row>
    <row r="113">
      <c r="A113" s="24" t="n"/>
      <c r="B113" s="21" t="n"/>
      <c r="C113" s="21" t="n"/>
      <c r="D113" s="21" t="n"/>
      <c r="E113" s="26" t="n"/>
      <c r="F113" s="21" t="n"/>
    </row>
    <row r="114">
      <c r="A114" s="24" t="n"/>
      <c r="B114" s="21" t="n"/>
      <c r="C114" s="21" t="n"/>
      <c r="D114" s="21" t="n"/>
      <c r="E114" s="26" t="n"/>
      <c r="F114" s="21" t="n"/>
    </row>
    <row r="115">
      <c r="A115" s="24" t="n"/>
      <c r="B115" s="21" t="n"/>
      <c r="C115" s="21" t="n"/>
      <c r="D115" s="21" t="n"/>
      <c r="E115" s="26" t="n"/>
      <c r="F115" s="21" t="n"/>
    </row>
    <row r="116">
      <c r="A116" s="24" t="n"/>
      <c r="B116" s="21" t="n"/>
      <c r="C116" s="21" t="n"/>
      <c r="D116" s="21" t="n"/>
      <c r="E116" s="26" t="n"/>
      <c r="F116" s="21" t="n"/>
    </row>
    <row r="117">
      <c r="A117" s="24" t="n"/>
      <c r="B117" s="21" t="n"/>
      <c r="C117" s="21" t="n"/>
      <c r="D117" s="21" t="n"/>
      <c r="E117" s="26" t="n"/>
      <c r="F117" s="21" t="n"/>
    </row>
    <row r="118">
      <c r="A118" s="24" t="n"/>
      <c r="B118" s="21" t="n"/>
      <c r="C118" s="21" t="n"/>
      <c r="D118" s="21" t="n"/>
      <c r="E118" s="26" t="n"/>
      <c r="F118" s="21" t="n"/>
    </row>
    <row r="119">
      <c r="A119" s="24" t="n"/>
      <c r="B119" s="21" t="n"/>
      <c r="C119" s="21" t="n"/>
      <c r="D119" s="21" t="n"/>
      <c r="E119" s="26" t="n"/>
      <c r="F119" s="21" t="n"/>
    </row>
    <row r="120">
      <c r="A120" s="24" t="n"/>
      <c r="B120" s="21" t="n"/>
      <c r="C120" s="21" t="n"/>
      <c r="D120" s="21" t="n"/>
      <c r="E120" s="26" t="n"/>
      <c r="F120" s="21" t="n"/>
    </row>
    <row r="121">
      <c r="A121" s="24" t="n"/>
      <c r="B121" s="21" t="n"/>
      <c r="C121" s="21" t="n"/>
      <c r="D121" s="21" t="n"/>
      <c r="E121" s="26" t="n"/>
      <c r="F121" s="21" t="n"/>
    </row>
    <row r="122">
      <c r="A122" s="24" t="n"/>
      <c r="B122" s="21" t="n"/>
      <c r="C122" s="21" t="n"/>
      <c r="D122" s="21" t="n"/>
      <c r="E122" s="26" t="n"/>
      <c r="F122" s="21" t="n"/>
    </row>
    <row r="123">
      <c r="A123" s="24" t="n"/>
      <c r="B123" s="21" t="n"/>
      <c r="C123" s="21" t="n"/>
      <c r="D123" s="21" t="n"/>
      <c r="E123" s="26" t="n"/>
      <c r="F123" s="21" t="n"/>
    </row>
    <row r="124">
      <c r="A124" s="24" t="n"/>
      <c r="B124" s="21" t="n"/>
      <c r="C124" s="21" t="n"/>
      <c r="D124" s="21" t="n"/>
      <c r="E124" s="26" t="n"/>
      <c r="F124" s="21" t="n"/>
    </row>
    <row r="125">
      <c r="A125" s="24" t="n"/>
      <c r="B125" s="21" t="n"/>
      <c r="C125" s="21" t="n"/>
      <c r="D125" s="21" t="n"/>
      <c r="E125" s="26" t="n"/>
      <c r="F125" s="21" t="n"/>
    </row>
    <row r="126">
      <c r="A126" s="24" t="n"/>
      <c r="B126" s="21" t="n"/>
      <c r="C126" s="21" t="n"/>
      <c r="D126" s="21" t="n"/>
      <c r="E126" s="26" t="n"/>
      <c r="F126" s="21" t="n"/>
    </row>
    <row r="127">
      <c r="A127" s="24" t="n"/>
      <c r="B127" s="21" t="n"/>
      <c r="C127" s="21" t="n"/>
      <c r="D127" s="21" t="n"/>
      <c r="E127" s="26" t="n"/>
      <c r="F127" s="21" t="n"/>
    </row>
    <row r="128">
      <c r="A128" s="24" t="n"/>
      <c r="B128" s="21" t="n"/>
      <c r="C128" s="21" t="n"/>
      <c r="D128" s="21" t="n"/>
      <c r="E128" s="26" t="n"/>
      <c r="F128" s="21" t="n"/>
    </row>
    <row r="129">
      <c r="A129" s="24" t="n"/>
      <c r="B129" s="21" t="n"/>
      <c r="C129" s="21" t="n"/>
      <c r="D129" s="21" t="n"/>
      <c r="E129" s="26" t="n"/>
      <c r="F129" s="21" t="n"/>
    </row>
    <row r="130">
      <c r="A130" s="24" t="n"/>
      <c r="B130" s="21" t="n"/>
      <c r="C130" s="21" t="n"/>
      <c r="D130" s="21" t="n"/>
      <c r="E130" s="26" t="n"/>
      <c r="F130" s="21" t="n"/>
    </row>
    <row r="131">
      <c r="A131" s="24" t="n"/>
      <c r="B131" s="21" t="n"/>
      <c r="C131" s="21" t="n"/>
      <c r="D131" s="21" t="n"/>
      <c r="E131" s="26" t="n"/>
      <c r="F131" s="21" t="n"/>
    </row>
    <row r="132">
      <c r="A132" s="24" t="n"/>
      <c r="B132" s="21" t="n"/>
      <c r="C132" s="21" t="n"/>
      <c r="D132" s="21" t="n"/>
      <c r="E132" s="26" t="n"/>
      <c r="F132" s="21" t="n"/>
    </row>
    <row r="133">
      <c r="A133" s="24" t="n"/>
      <c r="B133" s="21" t="n"/>
      <c r="C133" s="21" t="n"/>
      <c r="D133" s="21" t="n"/>
      <c r="E133" s="26" t="n"/>
      <c r="F133" s="21" t="n"/>
    </row>
    <row r="134">
      <c r="A134" s="24" t="n"/>
      <c r="B134" s="21" t="n"/>
      <c r="C134" s="21" t="n"/>
      <c r="D134" s="21" t="n"/>
      <c r="E134" s="26" t="n"/>
      <c r="F134" s="21" t="n"/>
    </row>
    <row r="135">
      <c r="A135" s="24" t="n"/>
      <c r="B135" s="21" t="n"/>
      <c r="C135" s="21" t="n"/>
      <c r="D135" s="21" t="n"/>
      <c r="E135" s="26" t="n"/>
      <c r="F135" s="21" t="n"/>
    </row>
    <row r="136">
      <c r="A136" s="24" t="n"/>
      <c r="B136" s="21" t="n"/>
      <c r="C136" s="21" t="n"/>
      <c r="D136" s="21" t="n"/>
      <c r="E136" s="26" t="n"/>
      <c r="F136" s="21" t="n"/>
    </row>
    <row r="137">
      <c r="A137" s="24" t="n"/>
      <c r="B137" s="21" t="n"/>
      <c r="C137" s="21" t="n"/>
      <c r="D137" s="21" t="n"/>
      <c r="E137" s="26" t="n"/>
      <c r="F137" s="21" t="n"/>
    </row>
    <row r="138">
      <c r="A138" s="24" t="n"/>
      <c r="B138" s="21" t="n"/>
      <c r="C138" s="21" t="n"/>
      <c r="D138" s="21" t="n"/>
      <c r="E138" s="26" t="n"/>
      <c r="F138" s="21" t="n"/>
    </row>
    <row r="139">
      <c r="A139" s="24" t="n"/>
      <c r="B139" s="21" t="n"/>
      <c r="C139" s="21" t="n"/>
      <c r="D139" s="21" t="n"/>
      <c r="E139" s="26" t="n"/>
      <c r="F139" s="21" t="n"/>
    </row>
    <row r="140">
      <c r="A140" s="24" t="n"/>
      <c r="B140" s="21" t="n"/>
      <c r="C140" s="21" t="n"/>
      <c r="D140" s="21" t="n"/>
      <c r="E140" s="26" t="n"/>
      <c r="F140" s="21" t="n"/>
    </row>
    <row r="141">
      <c r="A141" s="24" t="n"/>
      <c r="B141" s="21" t="n"/>
      <c r="C141" s="21" t="n"/>
      <c r="D141" s="21" t="n"/>
      <c r="E141" s="26" t="n"/>
      <c r="F141" s="21" t="n"/>
    </row>
    <row r="142">
      <c r="A142" s="24" t="n"/>
      <c r="B142" s="21" t="n"/>
      <c r="C142" s="21" t="n"/>
      <c r="D142" s="21" t="n"/>
      <c r="E142" s="26" t="n"/>
      <c r="F142" s="21" t="n"/>
    </row>
    <row r="143">
      <c r="A143" s="24" t="n"/>
      <c r="B143" s="21" t="n"/>
      <c r="C143" s="21" t="n"/>
      <c r="D143" s="21" t="n"/>
      <c r="E143" s="26" t="n"/>
      <c r="F143" s="21" t="n"/>
    </row>
    <row r="144">
      <c r="A144" s="24" t="n"/>
      <c r="B144" s="21" t="n"/>
      <c r="C144" s="21" t="n"/>
      <c r="D144" s="21" t="n"/>
      <c r="E144" s="26" t="n"/>
      <c r="F144" s="21" t="n"/>
    </row>
    <row r="145">
      <c r="A145" s="24" t="n"/>
      <c r="B145" s="21" t="n"/>
      <c r="C145" s="21" t="n"/>
      <c r="D145" s="21" t="n"/>
      <c r="E145" s="26" t="n"/>
      <c r="F145" s="21" t="n"/>
    </row>
    <row r="146">
      <c r="A146" s="24" t="n"/>
      <c r="B146" s="21" t="n"/>
      <c r="C146" s="21" t="n"/>
      <c r="D146" s="21" t="n"/>
      <c r="E146" s="26" t="n"/>
      <c r="F146" s="21" t="n"/>
    </row>
    <row r="147">
      <c r="A147" s="24" t="n"/>
      <c r="B147" s="21" t="n"/>
      <c r="C147" s="21" t="n"/>
      <c r="D147" s="21" t="n"/>
      <c r="E147" s="26" t="n"/>
      <c r="F147" s="21" t="n"/>
    </row>
    <row r="148">
      <c r="A148" s="24" t="n"/>
      <c r="B148" s="21" t="n"/>
      <c r="C148" s="21" t="n"/>
      <c r="D148" s="21" t="n"/>
      <c r="E148" s="26" t="n"/>
      <c r="F148" s="21" t="n"/>
    </row>
    <row r="149">
      <c r="A149" s="24" t="n"/>
      <c r="B149" s="21" t="n"/>
      <c r="C149" s="21" t="n"/>
      <c r="D149" s="21" t="n"/>
      <c r="E149" s="26" t="n"/>
      <c r="F149" s="21" t="n"/>
    </row>
    <row r="150">
      <c r="A150" s="24" t="n"/>
      <c r="B150" s="21" t="n"/>
      <c r="C150" s="21" t="n"/>
      <c r="D150" s="21" t="n"/>
      <c r="E150" s="26" t="n"/>
      <c r="F150" s="21" t="n"/>
    </row>
    <row r="151">
      <c r="A151" s="24" t="n"/>
      <c r="B151" s="21" t="n"/>
      <c r="C151" s="21" t="n"/>
      <c r="D151" s="21" t="n"/>
      <c r="E151" s="26" t="n"/>
      <c r="F151" s="21" t="n"/>
    </row>
    <row r="152">
      <c r="A152" s="24" t="n"/>
      <c r="B152" s="21" t="n"/>
      <c r="C152" s="21" t="n"/>
      <c r="D152" s="21" t="n"/>
      <c r="E152" s="26" t="n"/>
      <c r="F152" s="21" t="n"/>
    </row>
    <row r="153">
      <c r="A153" s="24" t="n"/>
      <c r="B153" s="21" t="n"/>
      <c r="C153" s="21" t="n"/>
      <c r="D153" s="21" t="n"/>
      <c r="E153" s="26" t="n"/>
      <c r="F153" s="21" t="n"/>
    </row>
    <row r="154">
      <c r="A154" s="24" t="n"/>
      <c r="B154" s="21" t="n"/>
      <c r="C154" s="21" t="n"/>
      <c r="D154" s="21" t="n"/>
      <c r="E154" s="26" t="n"/>
      <c r="F154" s="21" t="n"/>
    </row>
    <row r="155">
      <c r="A155" s="24" t="n"/>
      <c r="B155" s="21" t="n"/>
      <c r="C155" s="21" t="n"/>
      <c r="D155" s="21" t="n"/>
      <c r="E155" s="26" t="n"/>
      <c r="F155" s="21" t="n"/>
    </row>
    <row r="156">
      <c r="A156" s="24" t="n"/>
      <c r="B156" s="21" t="n"/>
      <c r="C156" s="21" t="n"/>
      <c r="D156" s="21" t="n"/>
      <c r="E156" s="26" t="n"/>
      <c r="F156" s="21" t="n"/>
    </row>
    <row r="157">
      <c r="A157" s="24" t="n"/>
      <c r="B157" s="21" t="n"/>
      <c r="C157" s="21" t="n"/>
      <c r="D157" s="21" t="n"/>
      <c r="E157" s="26" t="n"/>
      <c r="F157" s="21" t="n"/>
    </row>
    <row r="158">
      <c r="A158" s="24" t="n"/>
      <c r="B158" s="21" t="n"/>
      <c r="C158" s="21" t="n"/>
      <c r="D158" s="21" t="n"/>
      <c r="E158" s="26" t="n"/>
      <c r="F158" s="21" t="n"/>
    </row>
    <row r="159">
      <c r="A159" s="24" t="n"/>
      <c r="B159" s="21" t="n"/>
      <c r="C159" s="21" t="n"/>
      <c r="D159" s="21" t="n"/>
      <c r="E159" s="26" t="n"/>
      <c r="F159" s="21" t="n"/>
    </row>
    <row r="160">
      <c r="A160" s="24" t="n"/>
      <c r="B160" s="21" t="n"/>
      <c r="C160" s="21" t="n"/>
      <c r="D160" s="21" t="n"/>
      <c r="E160" s="26" t="n"/>
      <c r="F160" s="21" t="n"/>
    </row>
    <row r="161">
      <c r="A161" s="24" t="n"/>
      <c r="B161" s="21" t="n"/>
      <c r="C161" s="21" t="n"/>
      <c r="D161" s="21" t="n"/>
      <c r="E161" s="26" t="n"/>
      <c r="F161" s="21" t="n"/>
    </row>
    <row r="162">
      <c r="A162" s="24" t="n"/>
      <c r="B162" s="21" t="n"/>
      <c r="C162" s="21" t="n"/>
      <c r="D162" s="21" t="n"/>
      <c r="E162" s="26" t="n"/>
      <c r="F162" s="21" t="n"/>
    </row>
    <row r="163">
      <c r="A163" s="24" t="n"/>
      <c r="B163" s="21" t="n"/>
      <c r="C163" s="21" t="n"/>
      <c r="D163" s="21" t="n"/>
      <c r="E163" s="26" t="n"/>
      <c r="F163" s="21" t="n"/>
    </row>
    <row r="164">
      <c r="A164" s="24" t="n"/>
      <c r="B164" s="21" t="n"/>
      <c r="C164" s="21" t="n"/>
      <c r="D164" s="21" t="n"/>
      <c r="E164" s="26" t="n"/>
      <c r="F164" s="21" t="n"/>
    </row>
    <row r="165">
      <c r="A165" s="24" t="n"/>
      <c r="B165" s="21" t="n"/>
      <c r="C165" s="21" t="n"/>
      <c r="D165" s="21" t="n"/>
      <c r="E165" s="26" t="n"/>
      <c r="F165" s="21" t="n"/>
    </row>
    <row r="166">
      <c r="A166" s="24" t="n"/>
      <c r="B166" s="21" t="n"/>
      <c r="C166" s="21" t="n"/>
      <c r="D166" s="21" t="n"/>
      <c r="E166" s="26" t="n"/>
      <c r="F166" s="21" t="n"/>
    </row>
    <row r="167">
      <c r="A167" s="24" t="n"/>
      <c r="B167" s="21" t="n"/>
      <c r="C167" s="21" t="n"/>
      <c r="D167" s="21" t="n"/>
      <c r="E167" s="26" t="n"/>
      <c r="F167" s="21" t="n"/>
    </row>
    <row r="168">
      <c r="A168" s="24" t="n"/>
      <c r="B168" s="21" t="n"/>
      <c r="C168" s="21" t="n"/>
      <c r="D168" s="21" t="n"/>
      <c r="E168" s="26" t="n"/>
      <c r="F168" s="21" t="n"/>
    </row>
    <row r="169">
      <c r="A169" s="24" t="n"/>
      <c r="B169" s="21" t="n"/>
      <c r="C169" s="21" t="n"/>
      <c r="D169" s="21" t="n"/>
      <c r="E169" s="26" t="n"/>
      <c r="F169" s="21" t="n"/>
    </row>
    <row r="170">
      <c r="A170" s="24" t="n"/>
      <c r="B170" s="21" t="n"/>
      <c r="C170" s="21" t="n"/>
      <c r="D170" s="21" t="n"/>
      <c r="E170" s="26" t="n"/>
      <c r="F170" s="21" t="n"/>
    </row>
    <row r="171">
      <c r="A171" s="24" t="n"/>
      <c r="B171" s="21" t="n"/>
      <c r="C171" s="21" t="n"/>
      <c r="D171" s="21" t="n"/>
      <c r="E171" s="26" t="n"/>
      <c r="F171" s="21" t="n"/>
    </row>
    <row r="172">
      <c r="A172" s="24" t="n"/>
      <c r="B172" s="21" t="n"/>
      <c r="C172" s="21" t="n"/>
      <c r="D172" s="21" t="n"/>
      <c r="E172" s="26" t="n"/>
      <c r="F172" s="21" t="n"/>
    </row>
    <row r="173">
      <c r="A173" s="24" t="n"/>
      <c r="B173" s="21" t="n"/>
      <c r="C173" s="21" t="n"/>
      <c r="D173" s="21" t="n"/>
      <c r="E173" s="26" t="n"/>
      <c r="F173" s="21" t="n"/>
    </row>
    <row r="174">
      <c r="A174" s="24" t="n"/>
      <c r="B174" s="21" t="n"/>
      <c r="C174" s="21" t="n"/>
      <c r="D174" s="21" t="n"/>
      <c r="E174" s="26" t="n"/>
      <c r="F174" s="21" t="n"/>
    </row>
    <row r="175">
      <c r="A175" s="24" t="n"/>
      <c r="B175" s="21" t="n"/>
      <c r="C175" s="21" t="n"/>
      <c r="D175" s="21" t="n"/>
      <c r="E175" s="26" t="n"/>
      <c r="F175" s="21" t="n"/>
    </row>
    <row r="176">
      <c r="A176" s="24" t="n"/>
      <c r="B176" s="21" t="n"/>
      <c r="C176" s="21" t="n"/>
      <c r="D176" s="21" t="n"/>
      <c r="E176" s="26" t="n"/>
      <c r="F176" s="21" t="n"/>
    </row>
    <row r="177">
      <c r="A177" s="24" t="n"/>
      <c r="B177" s="21" t="n"/>
      <c r="C177" s="21" t="n"/>
      <c r="D177" s="21" t="n"/>
      <c r="E177" s="26" t="n"/>
      <c r="F177" s="21" t="n"/>
    </row>
    <row r="178">
      <c r="A178" s="24" t="n"/>
      <c r="B178" s="21" t="n"/>
      <c r="C178" s="21" t="n"/>
      <c r="D178" s="21" t="n"/>
      <c r="E178" s="26" t="n"/>
      <c r="F178" s="21" t="n"/>
    </row>
    <row r="179">
      <c r="A179" s="24" t="n"/>
      <c r="B179" s="21" t="n"/>
      <c r="C179" s="21" t="n"/>
      <c r="D179" s="21" t="n"/>
      <c r="E179" s="26" t="n"/>
      <c r="F179" s="21" t="n"/>
    </row>
    <row r="180">
      <c r="A180" s="24" t="n"/>
      <c r="B180" s="21" t="n"/>
      <c r="C180" s="21" t="n"/>
      <c r="D180" s="21" t="n"/>
      <c r="E180" s="26" t="n"/>
      <c r="F180" s="21" t="n"/>
    </row>
    <row r="181">
      <c r="A181" s="24" t="n"/>
      <c r="B181" s="21" t="n"/>
      <c r="C181" s="21" t="n"/>
      <c r="D181" s="21" t="n"/>
      <c r="E181" s="26" t="n"/>
      <c r="F181" s="21" t="n"/>
    </row>
    <row r="182">
      <c r="A182" s="24" t="n"/>
      <c r="B182" s="21" t="n"/>
      <c r="C182" s="21" t="n"/>
      <c r="D182" s="21" t="n"/>
      <c r="E182" s="26" t="n"/>
      <c r="F182" s="21" t="n"/>
    </row>
    <row r="183">
      <c r="A183" s="24" t="n"/>
      <c r="B183" s="21" t="n"/>
      <c r="C183" s="21" t="n"/>
      <c r="D183" s="21" t="n"/>
      <c r="E183" s="26" t="n"/>
      <c r="F183" s="21" t="n"/>
    </row>
    <row r="184">
      <c r="A184" s="24" t="n"/>
      <c r="B184" s="21" t="n"/>
      <c r="C184" s="21" t="n"/>
      <c r="D184" s="21" t="n"/>
      <c r="E184" s="26" t="n"/>
      <c r="F184" s="21" t="n"/>
    </row>
    <row r="185">
      <c r="A185" s="24" t="n"/>
      <c r="B185" s="21" t="n"/>
      <c r="C185" s="21" t="n"/>
      <c r="D185" s="21" t="n"/>
      <c r="E185" s="26" t="n"/>
      <c r="F185" s="21" t="n"/>
    </row>
    <row r="186">
      <c r="A186" s="24" t="n"/>
      <c r="B186" s="21" t="n"/>
      <c r="C186" s="21" t="n"/>
      <c r="D186" s="21" t="n"/>
      <c r="E186" s="26" t="n"/>
      <c r="F186" s="21" t="n"/>
    </row>
    <row r="187">
      <c r="A187" s="24" t="n"/>
      <c r="B187" s="21" t="n"/>
      <c r="C187" s="21" t="n"/>
      <c r="D187" s="21" t="n"/>
      <c r="E187" s="26" t="n"/>
      <c r="F187" s="21" t="n"/>
    </row>
    <row r="188">
      <c r="A188" s="24" t="n"/>
      <c r="B188" s="21" t="n"/>
      <c r="C188" s="21" t="n"/>
      <c r="D188" s="21" t="n"/>
      <c r="E188" s="26" t="n"/>
      <c r="F188" s="21" t="n"/>
    </row>
    <row r="189">
      <c r="A189" s="24" t="n"/>
      <c r="B189" s="21" t="n"/>
      <c r="C189" s="21" t="n"/>
      <c r="D189" s="21" t="n"/>
      <c r="E189" s="26" t="n"/>
      <c r="F189" s="21" t="n"/>
    </row>
    <row r="190">
      <c r="A190" s="24" t="n"/>
      <c r="B190" s="21" t="n"/>
      <c r="C190" s="21" t="n"/>
      <c r="D190" s="21" t="n"/>
      <c r="E190" s="26" t="n"/>
      <c r="F190" s="21" t="n"/>
    </row>
    <row r="191">
      <c r="A191" s="24" t="n"/>
      <c r="B191" s="21" t="n"/>
      <c r="C191" s="21" t="n"/>
      <c r="D191" s="21" t="n"/>
      <c r="E191" s="26" t="n"/>
      <c r="F191" s="21" t="n"/>
    </row>
    <row r="192">
      <c r="A192" s="24" t="n"/>
      <c r="B192" s="21" t="n"/>
      <c r="C192" s="21" t="n"/>
      <c r="D192" s="21" t="n"/>
      <c r="E192" s="26" t="n"/>
      <c r="F192" s="21" t="n"/>
    </row>
    <row r="193">
      <c r="A193" s="24" t="n"/>
      <c r="B193" s="21" t="n"/>
      <c r="C193" s="21" t="n"/>
      <c r="D193" s="21" t="n"/>
      <c r="E193" s="26" t="n"/>
      <c r="F193" s="21" t="n"/>
    </row>
    <row r="194">
      <c r="A194" s="24" t="n"/>
      <c r="B194" s="21" t="n"/>
      <c r="C194" s="21" t="n"/>
      <c r="D194" s="21" t="n"/>
      <c r="E194" s="26" t="n"/>
      <c r="F194" s="21" t="n"/>
    </row>
    <row r="195">
      <c r="A195" s="24" t="n"/>
      <c r="B195" s="21" t="n"/>
      <c r="C195" s="21" t="n"/>
      <c r="D195" s="21" t="n"/>
      <c r="E195" s="26" t="n"/>
      <c r="F195" s="21" t="n"/>
    </row>
    <row r="196">
      <c r="A196" s="24" t="n"/>
      <c r="B196" s="21" t="n"/>
      <c r="C196" s="21" t="n"/>
      <c r="D196" s="21" t="n"/>
      <c r="E196" s="26" t="n"/>
      <c r="F196" s="21" t="n"/>
    </row>
    <row r="197">
      <c r="A197" s="24" t="n"/>
      <c r="B197" s="21" t="n"/>
      <c r="C197" s="21" t="n"/>
      <c r="D197" s="21" t="n"/>
      <c r="E197" s="26" t="n"/>
      <c r="F197" s="21" t="n"/>
    </row>
    <row r="198">
      <c r="A198" s="24" t="n"/>
      <c r="B198" s="21" t="n"/>
      <c r="C198" s="21" t="n"/>
      <c r="D198" s="21" t="n"/>
      <c r="E198" s="26" t="n"/>
      <c r="F198" s="21" t="n"/>
    </row>
    <row r="199">
      <c r="A199" s="24" t="n"/>
      <c r="B199" s="21" t="n"/>
      <c r="C199" s="21" t="n"/>
      <c r="D199" s="21" t="n"/>
      <c r="E199" s="26" t="n"/>
      <c r="F199" s="21" t="n"/>
    </row>
    <row r="200">
      <c r="A200" s="24" t="n"/>
      <c r="B200" s="21" t="n"/>
      <c r="C200" s="21" t="n"/>
      <c r="D200" s="21" t="n"/>
      <c r="E200" s="26" t="n"/>
      <c r="F200" s="21" t="n"/>
    </row>
    <row r="201">
      <c r="A201" s="24" t="n"/>
      <c r="B201" s="21" t="n"/>
      <c r="C201" s="21" t="n"/>
      <c r="D201" s="21" t="n"/>
      <c r="E201" s="26" t="n"/>
      <c r="F201" s="21" t="n"/>
    </row>
    <row r="202">
      <c r="A202" s="24" t="n"/>
      <c r="B202" s="21" t="n"/>
      <c r="C202" s="21" t="n"/>
      <c r="D202" s="21" t="n"/>
      <c r="E202" s="26" t="n"/>
      <c r="F202" s="21" t="n"/>
    </row>
    <row r="203">
      <c r="A203" s="24" t="n"/>
      <c r="B203" s="21" t="n"/>
      <c r="C203" s="21" t="n"/>
      <c r="D203" s="21" t="n"/>
      <c r="E203" s="26" t="n"/>
      <c r="F203" s="21" t="n"/>
    </row>
    <row r="204">
      <c r="A204" s="24" t="n"/>
      <c r="B204" s="21" t="n"/>
      <c r="C204" s="21" t="n"/>
      <c r="D204" s="21" t="n"/>
      <c r="E204" s="26" t="n"/>
      <c r="F204" s="21" t="n"/>
    </row>
    <row r="205">
      <c r="A205" s="24" t="n"/>
      <c r="B205" s="21" t="n"/>
      <c r="C205" s="21" t="n"/>
      <c r="D205" s="21" t="n"/>
      <c r="E205" s="26" t="n"/>
      <c r="F205" s="21" t="n"/>
    </row>
    <row r="206">
      <c r="A206" s="24" t="n"/>
      <c r="B206" s="21" t="n"/>
      <c r="C206" s="21" t="n"/>
      <c r="D206" s="21" t="n"/>
      <c r="E206" s="26" t="n"/>
      <c r="F206" s="21" t="n"/>
    </row>
    <row r="207">
      <c r="A207" s="24" t="n"/>
      <c r="B207" s="21" t="n"/>
      <c r="C207" s="21" t="n"/>
      <c r="D207" s="21" t="n"/>
      <c r="E207" s="26" t="n"/>
      <c r="F207" s="21" t="n"/>
    </row>
    <row r="208">
      <c r="A208" s="24" t="n"/>
      <c r="B208" s="21" t="n"/>
      <c r="C208" s="21" t="n"/>
      <c r="D208" s="21" t="n"/>
      <c r="E208" s="26" t="n"/>
      <c r="F208" s="21" t="n"/>
    </row>
    <row r="209">
      <c r="A209" s="24" t="n"/>
      <c r="B209" s="21" t="n"/>
      <c r="C209" s="21" t="n"/>
      <c r="D209" s="21" t="n"/>
      <c r="E209" s="26" t="n"/>
      <c r="F209" s="21" t="n"/>
    </row>
    <row r="210">
      <c r="A210" s="24" t="n"/>
      <c r="B210" s="21" t="n"/>
      <c r="C210" s="21" t="n"/>
      <c r="D210" s="21" t="n"/>
      <c r="E210" s="26" t="n"/>
      <c r="F210" s="21" t="n"/>
    </row>
    <row r="211">
      <c r="A211" s="24" t="n"/>
      <c r="B211" s="21" t="n"/>
      <c r="C211" s="21" t="n"/>
      <c r="D211" s="21" t="n"/>
      <c r="E211" s="26" t="n"/>
      <c r="F211" s="21" t="n"/>
    </row>
    <row r="212">
      <c r="A212" s="24" t="n"/>
      <c r="B212" s="21" t="n"/>
      <c r="C212" s="21" t="n"/>
      <c r="D212" s="21" t="n"/>
      <c r="E212" s="26" t="n"/>
      <c r="F212" s="21" t="n"/>
    </row>
    <row r="213">
      <c r="A213" s="24" t="n"/>
      <c r="B213" s="21" t="n"/>
      <c r="C213" s="21" t="n"/>
      <c r="D213" s="21" t="n"/>
      <c r="E213" s="26" t="n"/>
      <c r="F213" s="21" t="n"/>
    </row>
    <row r="214">
      <c r="A214" s="24" t="n"/>
      <c r="B214" s="21" t="n"/>
      <c r="C214" s="21" t="n"/>
      <c r="D214" s="21" t="n"/>
      <c r="E214" s="26" t="n"/>
      <c r="F214" s="21" t="n"/>
    </row>
    <row r="215">
      <c r="A215" s="24" t="n"/>
      <c r="B215" s="21" t="n"/>
      <c r="C215" s="21" t="n"/>
      <c r="D215" s="21" t="n"/>
      <c r="E215" s="26" t="n"/>
      <c r="F215" s="21" t="n"/>
    </row>
    <row r="216">
      <c r="A216" s="24" t="n"/>
      <c r="B216" s="21" t="n"/>
      <c r="C216" s="21" t="n"/>
      <c r="D216" s="21" t="n"/>
      <c r="E216" s="26" t="n"/>
      <c r="F216" s="21" t="n"/>
    </row>
    <row r="217">
      <c r="A217" s="24" t="n"/>
      <c r="B217" s="21" t="n"/>
      <c r="C217" s="21" t="n"/>
      <c r="D217" s="21" t="n"/>
      <c r="E217" s="26" t="n"/>
      <c r="F217" s="21" t="n"/>
    </row>
    <row r="218">
      <c r="A218" s="24" t="n"/>
      <c r="B218" s="21" t="n"/>
      <c r="C218" s="21" t="n"/>
      <c r="D218" s="21" t="n"/>
      <c r="E218" s="26" t="n"/>
      <c r="F218" s="21" t="n"/>
    </row>
    <row r="219">
      <c r="A219" s="24" t="n"/>
      <c r="B219" s="21" t="n"/>
      <c r="C219" s="21" t="n"/>
      <c r="D219" s="21" t="n"/>
      <c r="E219" s="26" t="n"/>
      <c r="F219" s="21" t="n"/>
    </row>
    <row r="220">
      <c r="A220" s="24" t="n"/>
      <c r="B220" s="21" t="n"/>
      <c r="C220" s="21" t="n"/>
      <c r="D220" s="21" t="n"/>
      <c r="E220" s="26" t="n"/>
      <c r="F220" s="21" t="n"/>
    </row>
    <row r="221">
      <c r="A221" s="24" t="n"/>
      <c r="B221" s="21" t="n"/>
      <c r="C221" s="21" t="n"/>
      <c r="D221" s="21" t="n"/>
      <c r="E221" s="26" t="n"/>
      <c r="F221" s="21" t="n"/>
    </row>
    <row r="222">
      <c r="A222" s="24" t="n"/>
      <c r="B222" s="21" t="n"/>
      <c r="C222" s="21" t="n"/>
      <c r="D222" s="21" t="n"/>
      <c r="E222" s="26" t="n"/>
      <c r="F222" s="21" t="n"/>
    </row>
    <row r="223">
      <c r="A223" s="24" t="n"/>
      <c r="B223" s="21" t="n"/>
      <c r="C223" s="21" t="n"/>
      <c r="D223" s="21" t="n"/>
      <c r="E223" s="26" t="n"/>
      <c r="F223" s="21" t="n"/>
    </row>
    <row r="224">
      <c r="A224" s="24" t="n"/>
      <c r="B224" s="21" t="n"/>
      <c r="C224" s="21" t="n"/>
      <c r="D224" s="21" t="n"/>
      <c r="E224" s="26" t="n"/>
      <c r="F224" s="21" t="n"/>
    </row>
    <row r="225">
      <c r="A225" s="24" t="n"/>
      <c r="B225" s="21" t="n"/>
      <c r="C225" s="21" t="n"/>
      <c r="D225" s="21" t="n"/>
      <c r="E225" s="26" t="n"/>
      <c r="F225" s="21" t="n"/>
    </row>
    <row r="226">
      <c r="A226" s="24" t="n"/>
      <c r="B226" s="21" t="n"/>
      <c r="C226" s="21" t="n"/>
      <c r="D226" s="21" t="n"/>
      <c r="E226" s="26" t="n"/>
      <c r="F226" s="21" t="n"/>
    </row>
    <row r="227">
      <c r="A227" s="24" t="n"/>
      <c r="B227" s="21" t="n"/>
      <c r="C227" s="21" t="n"/>
      <c r="D227" s="21" t="n"/>
      <c r="E227" s="26" t="n"/>
      <c r="F227" s="21" t="n"/>
    </row>
    <row r="228">
      <c r="A228" s="24" t="n"/>
      <c r="B228" s="21" t="n"/>
      <c r="C228" s="21" t="n"/>
      <c r="D228" s="21" t="n"/>
      <c r="E228" s="26" t="n"/>
      <c r="F228" s="21" t="n"/>
    </row>
    <row r="229">
      <c r="A229" s="24" t="n"/>
      <c r="B229" s="21" t="n"/>
      <c r="C229" s="21" t="n"/>
      <c r="D229" s="21" t="n"/>
      <c r="E229" s="26" t="n"/>
      <c r="F229" s="21" t="n"/>
    </row>
    <row r="230">
      <c r="A230" s="24" t="n"/>
      <c r="B230" s="21" t="n"/>
      <c r="C230" s="21" t="n"/>
      <c r="D230" s="21" t="n"/>
      <c r="E230" s="26" t="n"/>
      <c r="F230" s="21" t="n"/>
    </row>
    <row r="231">
      <c r="A231" s="24" t="n"/>
      <c r="B231" s="21" t="n"/>
      <c r="C231" s="21" t="n"/>
      <c r="D231" s="21" t="n"/>
      <c r="E231" s="26" t="n"/>
      <c r="F231" s="21" t="n"/>
    </row>
    <row r="232">
      <c r="A232" s="24" t="n"/>
      <c r="B232" s="21" t="n"/>
      <c r="C232" s="21" t="n"/>
      <c r="D232" s="21" t="n"/>
      <c r="E232" s="26" t="n"/>
      <c r="F232" s="21" t="n"/>
    </row>
    <row r="233">
      <c r="A233" s="24" t="n"/>
      <c r="B233" s="21" t="n"/>
      <c r="C233" s="21" t="n"/>
      <c r="D233" s="21" t="n"/>
      <c r="E233" s="26" t="n"/>
      <c r="F233" s="21" t="n"/>
    </row>
    <row r="234">
      <c r="A234" s="24" t="n"/>
      <c r="B234" s="21" t="n"/>
      <c r="C234" s="21" t="n"/>
      <c r="D234" s="21" t="n"/>
      <c r="E234" s="26" t="n"/>
      <c r="F234" s="21" t="n"/>
    </row>
    <row r="235">
      <c r="A235" s="24" t="n"/>
      <c r="B235" s="21" t="n"/>
      <c r="C235" s="21" t="n"/>
      <c r="D235" s="21" t="n"/>
      <c r="E235" s="26" t="n"/>
      <c r="F235" s="21" t="n"/>
    </row>
    <row r="236">
      <c r="A236" s="24" t="n"/>
      <c r="B236" s="21" t="n"/>
      <c r="C236" s="21" t="n"/>
      <c r="D236" s="21" t="n"/>
      <c r="E236" s="26" t="n"/>
      <c r="F236" s="21" t="n"/>
    </row>
    <row r="237">
      <c r="A237" s="24" t="n"/>
      <c r="B237" s="21" t="n"/>
      <c r="C237" s="21" t="n"/>
      <c r="D237" s="21" t="n"/>
      <c r="E237" s="26" t="n"/>
      <c r="F237" s="21" t="n"/>
    </row>
    <row r="238">
      <c r="A238" s="24" t="n"/>
      <c r="B238" s="21" t="n"/>
      <c r="C238" s="21" t="n"/>
      <c r="D238" s="21" t="n"/>
      <c r="E238" s="26" t="n"/>
      <c r="F238" s="21" t="n"/>
    </row>
    <row r="239">
      <c r="A239" s="24" t="n"/>
      <c r="B239" s="21" t="n"/>
      <c r="C239" s="21" t="n"/>
      <c r="D239" s="21" t="n"/>
      <c r="E239" s="26" t="n"/>
      <c r="F239" s="21" t="n"/>
    </row>
    <row r="240">
      <c r="A240" s="24" t="n"/>
      <c r="B240" s="21" t="n"/>
      <c r="C240" s="21" t="n"/>
      <c r="D240" s="21" t="n"/>
      <c r="E240" s="26" t="n"/>
      <c r="F240" s="21" t="n"/>
    </row>
    <row r="241">
      <c r="A241" s="24" t="n"/>
      <c r="B241" s="21" t="n"/>
      <c r="C241" s="21" t="n"/>
      <c r="D241" s="21" t="n"/>
      <c r="E241" s="26" t="n"/>
      <c r="F241" s="21" t="n"/>
    </row>
    <row r="242">
      <c r="A242" s="24" t="n"/>
      <c r="B242" s="21" t="n"/>
      <c r="C242" s="21" t="n"/>
      <c r="D242" s="21" t="n"/>
      <c r="E242" s="26" t="n"/>
      <c r="F242" s="21" t="n"/>
    </row>
    <row r="243">
      <c r="A243" s="24" t="n"/>
      <c r="B243" s="21" t="n"/>
      <c r="C243" s="21" t="n"/>
      <c r="D243" s="21" t="n"/>
      <c r="E243" s="26" t="n"/>
      <c r="F243" s="21" t="n"/>
    </row>
    <row r="244">
      <c r="A244" s="24" t="n"/>
      <c r="B244" s="21" t="n"/>
      <c r="C244" s="21" t="n"/>
      <c r="D244" s="21" t="n"/>
      <c r="E244" s="26" t="n"/>
      <c r="F244" s="21" t="n"/>
    </row>
    <row r="245">
      <c r="A245" s="24" t="n"/>
      <c r="B245" s="21" t="n"/>
      <c r="C245" s="21" t="n"/>
      <c r="D245" s="21" t="n"/>
      <c r="E245" s="26" t="n"/>
      <c r="F245" s="21" t="n"/>
    </row>
    <row r="246">
      <c r="A246" s="24" t="n"/>
      <c r="B246" s="21" t="n"/>
      <c r="C246" s="21" t="n"/>
      <c r="D246" s="21" t="n"/>
      <c r="E246" s="26" t="n"/>
      <c r="F246" s="21" t="n"/>
    </row>
    <row r="247">
      <c r="A247" s="24" t="n"/>
      <c r="B247" s="21" t="n"/>
      <c r="C247" s="21" t="n"/>
      <c r="D247" s="21" t="n"/>
      <c r="E247" s="26" t="n"/>
      <c r="F247" s="21" t="n"/>
    </row>
    <row r="248">
      <c r="A248" s="24" t="n"/>
      <c r="B248" s="21" t="n"/>
      <c r="C248" s="21" t="n"/>
      <c r="D248" s="21" t="n"/>
      <c r="E248" s="26" t="n"/>
      <c r="F248" s="21" t="n"/>
    </row>
    <row r="249">
      <c r="A249" s="24" t="n"/>
      <c r="B249" s="21" t="n"/>
      <c r="C249" s="21" t="n"/>
      <c r="D249" s="21" t="n"/>
      <c r="E249" s="26" t="n"/>
      <c r="F249" s="21" t="n"/>
    </row>
    <row r="250">
      <c r="A250" s="24" t="n"/>
      <c r="B250" s="21" t="n"/>
      <c r="C250" s="21" t="n"/>
      <c r="D250" s="21" t="n"/>
      <c r="E250" s="26" t="n"/>
      <c r="F250" s="21" t="n"/>
    </row>
    <row r="251">
      <c r="A251" s="24" t="n"/>
      <c r="B251" s="21" t="n"/>
      <c r="C251" s="21" t="n"/>
      <c r="D251" s="21" t="n"/>
      <c r="E251" s="26" t="n"/>
      <c r="F251" s="21" t="n"/>
    </row>
    <row r="252">
      <c r="A252" s="24" t="n"/>
      <c r="B252" s="21" t="n"/>
      <c r="C252" s="21" t="n"/>
      <c r="D252" s="21" t="n"/>
      <c r="E252" s="26" t="n"/>
      <c r="F252" s="21" t="n"/>
    </row>
    <row r="253">
      <c r="A253" s="24" t="n"/>
      <c r="B253" s="21" t="n"/>
      <c r="C253" s="21" t="n"/>
      <c r="D253" s="21" t="n"/>
      <c r="E253" s="26" t="n"/>
      <c r="F253" s="21" t="n"/>
    </row>
    <row r="254">
      <c r="A254" s="24" t="n"/>
      <c r="B254" s="21" t="n"/>
      <c r="C254" s="21" t="n"/>
      <c r="D254" s="21" t="n"/>
      <c r="E254" s="26" t="n"/>
      <c r="F254" s="21" t="n"/>
    </row>
    <row r="255">
      <c r="A255" s="24" t="n"/>
      <c r="B255" s="21" t="n"/>
      <c r="C255" s="21" t="n"/>
      <c r="D255" s="21" t="n"/>
      <c r="E255" s="26" t="n"/>
      <c r="F255" s="21" t="n"/>
    </row>
    <row r="256">
      <c r="A256" s="24" t="n"/>
      <c r="B256" s="21" t="n"/>
      <c r="C256" s="21" t="n"/>
      <c r="D256" s="21" t="n"/>
      <c r="E256" s="26" t="n"/>
      <c r="F256" s="21" t="n"/>
    </row>
    <row r="257">
      <c r="A257" s="24" t="n"/>
      <c r="B257" s="21" t="n"/>
      <c r="C257" s="21" t="n"/>
      <c r="D257" s="21" t="n"/>
      <c r="E257" s="26" t="n"/>
      <c r="F257" s="21" t="n"/>
    </row>
    <row r="258">
      <c r="A258" s="24" t="n"/>
      <c r="B258" s="21" t="n"/>
      <c r="C258" s="21" t="n"/>
      <c r="D258" s="21" t="n"/>
      <c r="E258" s="26" t="n"/>
      <c r="F258" s="21" t="n"/>
    </row>
    <row r="259">
      <c r="A259" s="24" t="n"/>
      <c r="B259" s="21" t="n"/>
      <c r="C259" s="21" t="n"/>
      <c r="D259" s="21" t="n"/>
      <c r="E259" s="26" t="n"/>
      <c r="F259" s="21" t="n"/>
    </row>
    <row r="260">
      <c r="A260" s="24" t="n"/>
      <c r="B260" s="21" t="n"/>
      <c r="C260" s="21" t="n"/>
      <c r="D260" s="21" t="n"/>
      <c r="E260" s="26" t="n"/>
      <c r="F260" s="21" t="n"/>
    </row>
    <row r="261">
      <c r="A261" s="24" t="n"/>
      <c r="B261" s="21" t="n"/>
      <c r="C261" s="21" t="n"/>
      <c r="D261" s="21" t="n"/>
      <c r="E261" s="26" t="n"/>
      <c r="F261" s="21" t="n"/>
    </row>
    <row r="262">
      <c r="A262" s="24" t="n"/>
      <c r="B262" s="21" t="n"/>
      <c r="C262" s="21" t="n"/>
      <c r="D262" s="21" t="n"/>
      <c r="E262" s="26" t="n"/>
      <c r="F262" s="21" t="n"/>
    </row>
    <row r="263">
      <c r="A263" s="24" t="n"/>
      <c r="B263" s="21" t="n"/>
      <c r="C263" s="21" t="n"/>
      <c r="D263" s="21" t="n"/>
      <c r="E263" s="26" t="n"/>
      <c r="F263" s="21" t="n"/>
    </row>
    <row r="264">
      <c r="A264" s="24" t="n"/>
      <c r="B264" s="21" t="n"/>
      <c r="C264" s="21" t="n"/>
      <c r="D264" s="21" t="n"/>
      <c r="E264" s="26" t="n"/>
      <c r="F264" s="21" t="n"/>
    </row>
    <row r="265">
      <c r="A265" s="24" t="n"/>
      <c r="B265" s="21" t="n"/>
      <c r="C265" s="21" t="n"/>
      <c r="D265" s="21" t="n"/>
      <c r="E265" s="26" t="n"/>
      <c r="F265" s="21" t="n"/>
    </row>
    <row r="266">
      <c r="A266" s="24" t="n"/>
      <c r="B266" s="21" t="n"/>
      <c r="C266" s="21" t="n"/>
      <c r="D266" s="21" t="n"/>
      <c r="E266" s="26" t="n"/>
      <c r="F266" s="21" t="n"/>
    </row>
    <row r="267">
      <c r="A267" s="24" t="n"/>
      <c r="B267" s="21" t="n"/>
      <c r="C267" s="21" t="n"/>
      <c r="D267" s="21" t="n"/>
      <c r="E267" s="26" t="n"/>
      <c r="F267" s="21" t="n"/>
    </row>
    <row r="268">
      <c r="A268" s="24" t="n"/>
      <c r="B268" s="21" t="n"/>
      <c r="C268" s="21" t="n"/>
      <c r="D268" s="21" t="n"/>
      <c r="E268" s="26" t="n"/>
      <c r="F268" s="21" t="n"/>
    </row>
    <row r="269">
      <c r="A269" s="24" t="n"/>
      <c r="B269" s="21" t="n"/>
      <c r="C269" s="21" t="n"/>
      <c r="D269" s="21" t="n"/>
      <c r="E269" s="26" t="n"/>
      <c r="F269" s="21" t="n"/>
    </row>
    <row r="270">
      <c r="A270" s="24" t="n"/>
      <c r="B270" s="21" t="n"/>
      <c r="C270" s="21" t="n"/>
      <c r="D270" s="21" t="n"/>
      <c r="E270" s="26" t="n"/>
      <c r="F270" s="21" t="n"/>
    </row>
    <row r="271">
      <c r="A271" s="24" t="n"/>
      <c r="B271" s="21" t="n"/>
      <c r="C271" s="21" t="n"/>
      <c r="D271" s="21" t="n"/>
      <c r="E271" s="26" t="n"/>
      <c r="F271" s="21" t="n"/>
    </row>
    <row r="272">
      <c r="A272" s="24" t="n"/>
      <c r="B272" s="21" t="n"/>
      <c r="C272" s="21" t="n"/>
      <c r="D272" s="21" t="n"/>
      <c r="E272" s="26" t="n"/>
      <c r="F272" s="21" t="n"/>
    </row>
    <row r="273">
      <c r="A273" s="24" t="n"/>
      <c r="B273" s="21" t="n"/>
      <c r="C273" s="21" t="n"/>
      <c r="D273" s="21" t="n"/>
      <c r="E273" s="26" t="n"/>
      <c r="F273" s="21" t="n"/>
    </row>
    <row r="274">
      <c r="A274" s="24" t="n"/>
      <c r="B274" s="21" t="n"/>
      <c r="C274" s="21" t="n"/>
      <c r="D274" s="21" t="n"/>
      <c r="E274" s="26" t="n"/>
      <c r="F274" s="21" t="n"/>
    </row>
    <row r="275">
      <c r="A275" s="24" t="n"/>
      <c r="B275" s="21" t="n"/>
      <c r="C275" s="21" t="n"/>
      <c r="D275" s="21" t="n"/>
      <c r="E275" s="26" t="n"/>
      <c r="F275" s="21" t="n"/>
    </row>
    <row r="276">
      <c r="A276" s="24" t="n"/>
      <c r="B276" s="21" t="n"/>
      <c r="C276" s="21" t="n"/>
      <c r="D276" s="21" t="n"/>
      <c r="E276" s="26" t="n"/>
      <c r="F276" s="21" t="n"/>
    </row>
    <row r="277">
      <c r="A277" s="24" t="n"/>
      <c r="B277" s="21" t="n"/>
      <c r="C277" s="21" t="n"/>
      <c r="D277" s="21" t="n"/>
      <c r="E277" s="26" t="n"/>
      <c r="F277" s="21" t="n"/>
    </row>
    <row r="278">
      <c r="A278" s="24" t="n"/>
      <c r="B278" s="21" t="n"/>
      <c r="C278" s="21" t="n"/>
      <c r="D278" s="21" t="n"/>
      <c r="E278" s="26" t="n"/>
      <c r="F278" s="21" t="n"/>
    </row>
    <row r="279">
      <c r="A279" s="24" t="n"/>
      <c r="B279" s="21" t="n"/>
      <c r="C279" s="21" t="n"/>
      <c r="D279" s="21" t="n"/>
      <c r="E279" s="26" t="n"/>
      <c r="F279" s="21" t="n"/>
    </row>
    <row r="280">
      <c r="A280" s="24" t="n"/>
      <c r="B280" s="21" t="n"/>
      <c r="C280" s="21" t="n"/>
      <c r="D280" s="21" t="n"/>
      <c r="E280" s="26" t="n"/>
      <c r="F280" s="21" t="n"/>
    </row>
    <row r="281">
      <c r="A281" s="24" t="n"/>
      <c r="B281" s="21" t="n"/>
      <c r="C281" s="21" t="n"/>
      <c r="D281" s="21" t="n"/>
      <c r="E281" s="26" t="n"/>
      <c r="F281" s="21" t="n"/>
    </row>
    <row r="282">
      <c r="A282" s="24" t="n"/>
      <c r="B282" s="21" t="n"/>
      <c r="C282" s="21" t="n"/>
      <c r="D282" s="21" t="n"/>
      <c r="E282" s="26" t="n"/>
      <c r="F282" s="21" t="n"/>
    </row>
    <row r="283">
      <c r="A283" s="24" t="n"/>
      <c r="B283" s="21" t="n"/>
      <c r="C283" s="21" t="n"/>
      <c r="D283" s="21" t="n"/>
      <c r="E283" s="26" t="n"/>
      <c r="F283" s="21" t="n"/>
    </row>
    <row r="284">
      <c r="A284" s="24" t="n"/>
      <c r="B284" s="21" t="n"/>
      <c r="C284" s="21" t="n"/>
      <c r="D284" s="21" t="n"/>
      <c r="E284" s="26" t="n"/>
      <c r="F284" s="21" t="n"/>
    </row>
    <row r="285">
      <c r="A285" s="24" t="n"/>
      <c r="B285" s="21" t="n"/>
      <c r="C285" s="21" t="n"/>
      <c r="D285" s="21" t="n"/>
      <c r="E285" s="26" t="n"/>
      <c r="F285" s="21" t="n"/>
    </row>
    <row r="286">
      <c r="A286" s="24" t="n"/>
      <c r="B286" s="21" t="n"/>
      <c r="C286" s="21" t="n"/>
      <c r="D286" s="21" t="n"/>
      <c r="E286" s="26" t="n"/>
      <c r="F286" s="21" t="n"/>
    </row>
    <row r="287">
      <c r="A287" s="24" t="n"/>
      <c r="B287" s="21" t="n"/>
      <c r="C287" s="21" t="n"/>
      <c r="D287" s="21" t="n"/>
      <c r="E287" s="26" t="n"/>
      <c r="F287" s="21" t="n"/>
    </row>
    <row r="288">
      <c r="A288" s="24" t="n"/>
      <c r="B288" s="21" t="n"/>
      <c r="C288" s="21" t="n"/>
      <c r="D288" s="21" t="n"/>
      <c r="E288" s="26" t="n"/>
      <c r="F288" s="21" t="n"/>
    </row>
    <row r="289">
      <c r="A289" s="24" t="n"/>
      <c r="B289" s="21" t="n"/>
      <c r="C289" s="21" t="n"/>
      <c r="D289" s="21" t="n"/>
      <c r="E289" s="26" t="n"/>
      <c r="F289" s="21" t="n"/>
    </row>
    <row r="290">
      <c r="A290" s="24" t="n"/>
      <c r="B290" s="21" t="n"/>
      <c r="C290" s="21" t="n"/>
      <c r="D290" s="21" t="n"/>
      <c r="E290" s="26" t="n"/>
      <c r="F290" s="21" t="n"/>
    </row>
    <row r="291">
      <c r="A291" s="24" t="n"/>
      <c r="B291" s="21" t="n"/>
      <c r="C291" s="21" t="n"/>
      <c r="D291" s="21" t="n"/>
      <c r="E291" s="26" t="n"/>
      <c r="F291" s="21" t="n"/>
    </row>
    <row r="292">
      <c r="A292" s="24" t="n"/>
      <c r="B292" s="21" t="n"/>
      <c r="C292" s="21" t="n"/>
      <c r="D292" s="21" t="n"/>
      <c r="E292" s="26" t="n"/>
      <c r="F292" s="21" t="n"/>
    </row>
    <row r="293">
      <c r="A293" s="24" t="n"/>
      <c r="B293" s="21" t="n"/>
      <c r="C293" s="21" t="n"/>
      <c r="D293" s="21" t="n"/>
      <c r="E293" s="26" t="n"/>
      <c r="F293" s="21" t="n"/>
    </row>
    <row r="294">
      <c r="A294" s="24" t="n"/>
      <c r="B294" s="21" t="n"/>
      <c r="C294" s="21" t="n"/>
      <c r="D294" s="21" t="n"/>
      <c r="E294" s="26" t="n"/>
      <c r="F294" s="21" t="n"/>
    </row>
    <row r="295">
      <c r="A295" s="24" t="n"/>
      <c r="B295" s="21" t="n"/>
      <c r="C295" s="21" t="n"/>
      <c r="D295" s="21" t="n"/>
      <c r="E295" s="26" t="n"/>
      <c r="F295" s="21" t="n"/>
    </row>
    <row r="296">
      <c r="A296" s="24" t="n"/>
      <c r="B296" s="21" t="n"/>
      <c r="C296" s="21" t="n"/>
      <c r="D296" s="21" t="n"/>
      <c r="E296" s="26" t="n"/>
      <c r="F296" s="21" t="n"/>
    </row>
    <row r="297">
      <c r="A297" s="24" t="n"/>
      <c r="B297" s="21" t="n"/>
      <c r="C297" s="21" t="n"/>
      <c r="D297" s="21" t="n"/>
      <c r="E297" s="26" t="n"/>
      <c r="F297" s="21" t="n"/>
    </row>
    <row r="298">
      <c r="A298" s="24" t="n"/>
      <c r="B298" s="21" t="n"/>
      <c r="C298" s="21" t="n"/>
      <c r="D298" s="21" t="n"/>
      <c r="E298" s="26" t="n"/>
      <c r="F298" s="21" t="n"/>
    </row>
    <row r="299">
      <c r="A299" s="24" t="n"/>
      <c r="B299" s="21" t="n"/>
      <c r="C299" s="21" t="n"/>
      <c r="D299" s="21" t="n"/>
      <c r="E299" s="26" t="n"/>
      <c r="F299" s="21" t="n"/>
    </row>
    <row r="300">
      <c r="A300" s="24" t="n"/>
      <c r="B300" s="21" t="n"/>
      <c r="C300" s="21" t="n"/>
      <c r="D300" s="21" t="n"/>
      <c r="E300" s="26" t="n"/>
      <c r="F300" s="21" t="n"/>
    </row>
    <row r="301">
      <c r="A301" s="24" t="n"/>
      <c r="B301" s="21" t="n"/>
      <c r="C301" s="21" t="n"/>
      <c r="D301" s="21" t="n"/>
      <c r="E301" s="26" t="n"/>
      <c r="F301" s="21" t="n"/>
    </row>
    <row r="302">
      <c r="A302" s="24" t="n"/>
      <c r="B302" s="21" t="n"/>
      <c r="C302" s="21" t="n"/>
      <c r="D302" s="21" t="n"/>
      <c r="E302" s="26" t="n"/>
      <c r="F302" s="21" t="n"/>
    </row>
    <row r="303">
      <c r="A303" s="24" t="n"/>
      <c r="B303" s="21" t="n"/>
      <c r="C303" s="21" t="n"/>
      <c r="D303" s="21" t="n"/>
      <c r="E303" s="26" t="n"/>
      <c r="F303" s="21" t="n"/>
    </row>
    <row r="304">
      <c r="A304" s="24" t="n"/>
      <c r="B304" s="21" t="n"/>
      <c r="C304" s="21" t="n"/>
      <c r="D304" s="21" t="n"/>
      <c r="E304" s="26" t="n"/>
      <c r="F304" s="21" t="n"/>
    </row>
    <row r="305">
      <c r="A305" s="24" t="n"/>
      <c r="B305" s="21" t="n"/>
      <c r="C305" s="21" t="n"/>
      <c r="D305" s="21" t="n"/>
      <c r="E305" s="26" t="n"/>
      <c r="F305" s="21" t="n"/>
    </row>
    <row r="306">
      <c r="A306" s="24" t="n"/>
      <c r="B306" s="21" t="n"/>
      <c r="C306" s="21" t="n"/>
      <c r="D306" s="21" t="n"/>
      <c r="E306" s="26" t="n"/>
      <c r="F306" s="21" t="n"/>
    </row>
    <row r="307">
      <c r="A307" s="24" t="n"/>
      <c r="B307" s="21" t="n"/>
      <c r="C307" s="21" t="n"/>
      <c r="D307" s="21" t="n"/>
      <c r="E307" s="26" t="n"/>
      <c r="F307" s="21" t="n"/>
    </row>
    <row r="308">
      <c r="A308" s="24" t="n"/>
      <c r="B308" s="21" t="n"/>
      <c r="C308" s="21" t="n"/>
      <c r="D308" s="21" t="n"/>
      <c r="E308" s="26" t="n"/>
      <c r="F308" s="21" t="n"/>
    </row>
    <row r="309">
      <c r="A309" s="24" t="n"/>
      <c r="B309" s="21" t="n"/>
      <c r="C309" s="21" t="n"/>
      <c r="D309" s="21" t="n"/>
      <c r="E309" s="26" t="n"/>
      <c r="F309" s="21" t="n"/>
    </row>
    <row r="310">
      <c r="A310" s="24" t="n"/>
      <c r="B310" s="21" t="n"/>
      <c r="C310" s="21" t="n"/>
      <c r="D310" s="21" t="n"/>
      <c r="E310" s="26" t="n"/>
      <c r="F310" s="21" t="n"/>
    </row>
    <row r="311">
      <c r="A311" s="24" t="n"/>
      <c r="B311" s="21" t="n"/>
      <c r="C311" s="21" t="n"/>
      <c r="D311" s="21" t="n"/>
      <c r="E311" s="26" t="n"/>
      <c r="F311" s="21" t="n"/>
    </row>
    <row r="312">
      <c r="A312" s="24" t="n"/>
      <c r="B312" s="21" t="n"/>
      <c r="C312" s="21" t="n"/>
      <c r="D312" s="21" t="n"/>
      <c r="E312" s="26" t="n"/>
      <c r="F312" s="21" t="n"/>
    </row>
    <row r="313">
      <c r="A313" s="24" t="n"/>
      <c r="B313" s="21" t="n"/>
      <c r="C313" s="21" t="n"/>
      <c r="D313" s="21" t="n"/>
      <c r="E313" s="26" t="n"/>
      <c r="F313" s="21" t="n"/>
    </row>
    <row r="314">
      <c r="A314" s="24" t="n"/>
      <c r="B314" s="21" t="n"/>
      <c r="C314" s="21" t="n"/>
      <c r="D314" s="21" t="n"/>
      <c r="E314" s="26" t="n"/>
      <c r="F314" s="21" t="n"/>
    </row>
    <row r="315">
      <c r="A315" s="24" t="n"/>
      <c r="B315" s="21" t="n"/>
      <c r="C315" s="21" t="n"/>
      <c r="D315" s="21" t="n"/>
      <c r="E315" s="26" t="n"/>
      <c r="F315" s="21" t="n"/>
    </row>
    <row r="316">
      <c r="A316" s="24" t="n"/>
      <c r="B316" s="21" t="n"/>
      <c r="C316" s="21" t="n"/>
      <c r="D316" s="21" t="n"/>
      <c r="E316" s="26" t="n"/>
      <c r="F316" s="21" t="n"/>
    </row>
    <row r="317">
      <c r="A317" s="24" t="n"/>
      <c r="B317" s="21" t="n"/>
      <c r="C317" s="21" t="n"/>
      <c r="D317" s="21" t="n"/>
      <c r="E317" s="26" t="n"/>
      <c r="F317" s="21" t="n"/>
    </row>
    <row r="318">
      <c r="A318" s="24" t="n"/>
      <c r="B318" s="21" t="n"/>
      <c r="C318" s="21" t="n"/>
      <c r="D318" s="21" t="n"/>
      <c r="E318" s="26" t="n"/>
      <c r="F318" s="21" t="n"/>
    </row>
    <row r="319">
      <c r="A319" s="24" t="n"/>
      <c r="B319" s="21" t="n"/>
      <c r="C319" s="21" t="n"/>
      <c r="D319" s="21" t="n"/>
      <c r="E319" s="26" t="n"/>
      <c r="F319" s="21" t="n"/>
    </row>
    <row r="320">
      <c r="A320" s="24" t="n"/>
      <c r="B320" s="21" t="n"/>
      <c r="C320" s="21" t="n"/>
      <c r="D320" s="21" t="n"/>
      <c r="E320" s="26" t="n"/>
      <c r="F320" s="21" t="n"/>
    </row>
    <row r="321">
      <c r="A321" s="24" t="n"/>
      <c r="B321" s="21" t="n"/>
      <c r="C321" s="21" t="n"/>
      <c r="D321" s="21" t="n"/>
      <c r="E321" s="26" t="n"/>
      <c r="F321" s="21" t="n"/>
    </row>
    <row r="322">
      <c r="A322" s="24" t="n"/>
      <c r="B322" s="21" t="n"/>
      <c r="C322" s="21" t="n"/>
      <c r="D322" s="21" t="n"/>
      <c r="E322" s="26" t="n"/>
      <c r="F322" s="21" t="n"/>
    </row>
    <row r="323">
      <c r="A323" s="24" t="n"/>
      <c r="B323" s="21" t="n"/>
      <c r="C323" s="21" t="n"/>
      <c r="D323" s="21" t="n"/>
      <c r="E323" s="26" t="n"/>
      <c r="F323" s="21" t="n"/>
    </row>
    <row r="324">
      <c r="A324" s="24" t="n"/>
      <c r="B324" s="21" t="n"/>
      <c r="C324" s="21" t="n"/>
      <c r="D324" s="21" t="n"/>
      <c r="E324" s="26" t="n"/>
      <c r="F324" s="21" t="n"/>
    </row>
    <row r="325">
      <c r="A325" s="24" t="n"/>
      <c r="B325" s="21" t="n"/>
      <c r="C325" s="21" t="n"/>
      <c r="D325" s="21" t="n"/>
      <c r="E325" s="26" t="n"/>
      <c r="F325" s="21" t="n"/>
    </row>
    <row r="326">
      <c r="A326" s="24" t="n"/>
      <c r="B326" s="21" t="n"/>
      <c r="C326" s="21" t="n"/>
      <c r="D326" s="21" t="n"/>
      <c r="E326" s="26" t="n"/>
      <c r="F326" s="21" t="n"/>
    </row>
    <row r="327">
      <c r="A327" s="24" t="n"/>
      <c r="B327" s="21" t="n"/>
      <c r="C327" s="21" t="n"/>
      <c r="D327" s="21" t="n"/>
      <c r="E327" s="26" t="n"/>
      <c r="F327" s="21" t="n"/>
    </row>
    <row r="328">
      <c r="A328" s="24" t="n"/>
      <c r="B328" s="21" t="n"/>
      <c r="C328" s="21" t="n"/>
      <c r="D328" s="21" t="n"/>
      <c r="E328" s="26" t="n"/>
      <c r="F328" s="21" t="n"/>
    </row>
    <row r="329">
      <c r="A329" s="24" t="n"/>
      <c r="B329" s="21" t="n"/>
      <c r="C329" s="21" t="n"/>
      <c r="D329" s="21" t="n"/>
      <c r="E329" s="26" t="n"/>
      <c r="F329" s="21" t="n"/>
    </row>
    <row r="330">
      <c r="A330" s="24" t="n"/>
      <c r="B330" s="21" t="n"/>
      <c r="C330" s="21" t="n"/>
      <c r="D330" s="21" t="n"/>
      <c r="E330" s="26" t="n"/>
      <c r="F330" s="21" t="n"/>
    </row>
    <row r="331">
      <c r="A331" s="24" t="n"/>
      <c r="B331" s="21" t="n"/>
      <c r="C331" s="21" t="n"/>
      <c r="D331" s="21" t="n"/>
      <c r="E331" s="26" t="n"/>
      <c r="F331" s="21" t="n"/>
    </row>
    <row r="332">
      <c r="A332" s="24" t="n"/>
      <c r="B332" s="21" t="n"/>
      <c r="C332" s="21" t="n"/>
      <c r="D332" s="21" t="n"/>
      <c r="E332" s="26" t="n"/>
      <c r="F332" s="21" t="n"/>
    </row>
    <row r="333">
      <c r="A333" s="24" t="n"/>
      <c r="B333" s="21" t="n"/>
      <c r="C333" s="21" t="n"/>
      <c r="D333" s="21" t="n"/>
      <c r="E333" s="26" t="n"/>
      <c r="F333" s="21" t="n"/>
    </row>
    <row r="334">
      <c r="A334" s="24" t="n"/>
      <c r="B334" s="21" t="n"/>
      <c r="C334" s="21" t="n"/>
      <c r="D334" s="21" t="n"/>
      <c r="E334" s="26" t="n"/>
      <c r="F334" s="21" t="n"/>
    </row>
    <row r="335">
      <c r="A335" s="24" t="n"/>
      <c r="B335" s="21" t="n"/>
      <c r="C335" s="21" t="n"/>
      <c r="D335" s="21" t="n"/>
      <c r="E335" s="26" t="n"/>
      <c r="F335" s="21" t="n"/>
    </row>
    <row r="336">
      <c r="A336" s="24" t="n"/>
      <c r="B336" s="21" t="n"/>
      <c r="C336" s="21" t="n"/>
      <c r="D336" s="21" t="n"/>
      <c r="E336" s="26" t="n"/>
      <c r="F336" s="21" t="n"/>
    </row>
    <row r="337">
      <c r="A337" s="24" t="n"/>
      <c r="B337" s="21" t="n"/>
      <c r="C337" s="21" t="n"/>
      <c r="D337" s="21" t="n"/>
      <c r="E337" s="26" t="n"/>
      <c r="F337" s="21" t="n"/>
    </row>
    <row r="338">
      <c r="A338" s="24" t="n"/>
      <c r="B338" s="21" t="n"/>
      <c r="C338" s="21" t="n"/>
      <c r="D338" s="21" t="n"/>
      <c r="E338" s="26" t="n"/>
      <c r="F338" s="21" t="n"/>
    </row>
    <row r="339">
      <c r="A339" s="24" t="n"/>
      <c r="B339" s="21" t="n"/>
      <c r="C339" s="21" t="n"/>
      <c r="D339" s="21" t="n"/>
      <c r="E339" s="26" t="n"/>
      <c r="F339" s="21" t="n"/>
    </row>
    <row r="340">
      <c r="A340" s="24" t="n"/>
      <c r="B340" s="21" t="n"/>
      <c r="C340" s="21" t="n"/>
      <c r="D340" s="21" t="n"/>
      <c r="E340" s="26" t="n"/>
      <c r="F340" s="21" t="n"/>
    </row>
    <row r="341">
      <c r="A341" s="24" t="n"/>
      <c r="B341" s="21" t="n"/>
      <c r="C341" s="21" t="n"/>
      <c r="D341" s="21" t="n"/>
      <c r="E341" s="26" t="n"/>
      <c r="F341" s="21" t="n"/>
    </row>
    <row r="342">
      <c r="A342" s="24" t="n"/>
      <c r="B342" s="21" t="n"/>
      <c r="C342" s="21" t="n"/>
      <c r="D342" s="21" t="n"/>
      <c r="E342" s="26" t="n"/>
      <c r="F342" s="21" t="n"/>
    </row>
    <row r="343">
      <c r="A343" s="24" t="n"/>
      <c r="B343" s="21" t="n"/>
      <c r="C343" s="21" t="n"/>
      <c r="D343" s="21" t="n"/>
      <c r="E343" s="26" t="n"/>
      <c r="F343" s="21" t="n"/>
    </row>
    <row r="344">
      <c r="A344" s="24" t="n"/>
      <c r="B344" s="21" t="n"/>
      <c r="C344" s="21" t="n"/>
      <c r="D344" s="21" t="n"/>
      <c r="E344" s="26" t="n"/>
      <c r="F344" s="21" t="n"/>
    </row>
    <row r="345">
      <c r="A345" s="24" t="n"/>
      <c r="B345" s="21" t="n"/>
      <c r="C345" s="21" t="n"/>
      <c r="D345" s="21" t="n"/>
      <c r="E345" s="26" t="n"/>
      <c r="F345" s="21" t="n"/>
    </row>
    <row r="346">
      <c r="A346" s="24" t="n"/>
      <c r="B346" s="21" t="n"/>
      <c r="C346" s="21" t="n"/>
      <c r="D346" s="21" t="n"/>
      <c r="E346" s="26" t="n"/>
      <c r="F346" s="21" t="n"/>
    </row>
    <row r="347">
      <c r="A347" s="24" t="n"/>
      <c r="B347" s="21" t="n"/>
      <c r="C347" s="21" t="n"/>
      <c r="D347" s="21" t="n"/>
      <c r="E347" s="26" t="n"/>
      <c r="F347" s="21" t="n"/>
    </row>
    <row r="348">
      <c r="A348" s="24" t="n"/>
      <c r="B348" s="21" t="n"/>
      <c r="C348" s="21" t="n"/>
      <c r="D348" s="21" t="n"/>
      <c r="E348" s="26" t="n"/>
      <c r="F348" s="21" t="n"/>
    </row>
    <row r="349">
      <c r="A349" s="24" t="n"/>
      <c r="B349" s="21" t="n"/>
      <c r="C349" s="21" t="n"/>
      <c r="D349" s="21" t="n"/>
      <c r="E349" s="26" t="n"/>
      <c r="F349" s="21" t="n"/>
    </row>
    <row r="350">
      <c r="A350" s="24" t="n"/>
      <c r="B350" s="21" t="n"/>
      <c r="C350" s="21" t="n"/>
      <c r="D350" s="21" t="n"/>
      <c r="E350" s="26" t="n"/>
      <c r="F350" s="21" t="n"/>
    </row>
    <row r="351">
      <c r="A351" s="24" t="n"/>
      <c r="B351" s="21" t="n"/>
      <c r="C351" s="21" t="n"/>
      <c r="D351" s="21" t="n"/>
      <c r="E351" s="26" t="n"/>
      <c r="F351" s="21" t="n"/>
    </row>
    <row r="352">
      <c r="A352" s="24" t="n"/>
      <c r="B352" s="21" t="n"/>
      <c r="C352" s="21" t="n"/>
      <c r="D352" s="21" t="n"/>
      <c r="E352" s="26" t="n"/>
      <c r="F352" s="21" t="n"/>
    </row>
    <row r="353">
      <c r="A353" s="24" t="n"/>
      <c r="B353" s="21" t="n"/>
      <c r="C353" s="21" t="n"/>
      <c r="D353" s="21" t="n"/>
      <c r="E353" s="26" t="n"/>
      <c r="F353" s="21" t="n"/>
    </row>
    <row r="354">
      <c r="A354" s="24" t="n"/>
      <c r="B354" s="21" t="n"/>
      <c r="C354" s="21" t="n"/>
      <c r="D354" s="21" t="n"/>
      <c r="E354" s="26" t="n"/>
      <c r="F354" s="21" t="n"/>
    </row>
    <row r="355">
      <c r="A355" s="24" t="n"/>
      <c r="B355" s="21" t="n"/>
      <c r="C355" s="21" t="n"/>
      <c r="D355" s="21" t="n"/>
      <c r="E355" s="26" t="n"/>
      <c r="F355" s="21" t="n"/>
    </row>
    <row r="356">
      <c r="A356" s="24" t="n"/>
      <c r="B356" s="21" t="n"/>
      <c r="C356" s="21" t="n"/>
      <c r="D356" s="21" t="n"/>
      <c r="E356" s="26" t="n"/>
      <c r="F356" s="21" t="n"/>
    </row>
    <row r="357">
      <c r="A357" s="24" t="n"/>
      <c r="B357" s="21" t="n"/>
      <c r="C357" s="21" t="n"/>
      <c r="D357" s="21" t="n"/>
      <c r="E357" s="26" t="n"/>
      <c r="F357" s="21" t="n"/>
    </row>
    <row r="358">
      <c r="A358" s="24" t="n"/>
      <c r="B358" s="21" t="n"/>
      <c r="C358" s="21" t="n"/>
      <c r="D358" s="21" t="n"/>
      <c r="E358" s="26" t="n"/>
      <c r="F358" s="21" t="n"/>
    </row>
    <row r="359">
      <c r="A359" s="24" t="n"/>
      <c r="B359" s="21" t="n"/>
      <c r="C359" s="21" t="n"/>
      <c r="D359" s="21" t="n"/>
      <c r="E359" s="26" t="n"/>
      <c r="F359" s="21" t="n"/>
    </row>
    <row r="360">
      <c r="A360" s="24" t="n"/>
      <c r="B360" s="21" t="n"/>
      <c r="C360" s="21" t="n"/>
      <c r="D360" s="21" t="n"/>
      <c r="E360" s="26" t="n"/>
      <c r="F360" s="21" t="n"/>
    </row>
    <row r="361">
      <c r="A361" s="24" t="n"/>
      <c r="B361" s="21" t="n"/>
      <c r="C361" s="21" t="n"/>
      <c r="D361" s="21" t="n"/>
      <c r="E361" s="26" t="n"/>
      <c r="F361" s="21" t="n"/>
    </row>
    <row r="362">
      <c r="A362" s="24" t="n"/>
      <c r="B362" s="21" t="n"/>
      <c r="C362" s="21" t="n"/>
      <c r="D362" s="21" t="n"/>
      <c r="E362" s="26" t="n"/>
      <c r="F362" s="21" t="n"/>
    </row>
    <row r="363">
      <c r="A363" s="24" t="n"/>
      <c r="B363" s="21" t="n"/>
      <c r="C363" s="21" t="n"/>
      <c r="D363" s="21" t="n"/>
      <c r="E363" s="26" t="n"/>
      <c r="F363" s="21" t="n"/>
    </row>
    <row r="364">
      <c r="A364" s="24" t="n"/>
      <c r="B364" s="21" t="n"/>
      <c r="C364" s="21" t="n"/>
      <c r="D364" s="21" t="n"/>
      <c r="E364" s="26" t="n"/>
      <c r="F364" s="21" t="n"/>
    </row>
    <row r="365">
      <c r="A365" s="24" t="n"/>
      <c r="B365" s="21" t="n"/>
      <c r="C365" s="21" t="n"/>
      <c r="D365" s="21" t="n"/>
      <c r="E365" s="26" t="n"/>
      <c r="F365" s="21" t="n"/>
    </row>
    <row r="366">
      <c r="A366" s="24" t="n"/>
      <c r="B366" s="21" t="n"/>
      <c r="C366" s="21" t="n"/>
      <c r="D366" s="21" t="n"/>
      <c r="E366" s="26" t="n"/>
      <c r="F366" s="21" t="n"/>
    </row>
    <row r="367">
      <c r="A367" s="24" t="n"/>
      <c r="B367" s="21" t="n"/>
      <c r="C367" s="21" t="n"/>
      <c r="D367" s="21" t="n"/>
      <c r="E367" s="26" t="n"/>
      <c r="F367" s="21" t="n"/>
    </row>
    <row r="368">
      <c r="A368" s="24" t="n"/>
      <c r="B368" s="21" t="n"/>
      <c r="C368" s="21" t="n"/>
      <c r="D368" s="21" t="n"/>
      <c r="E368" s="26" t="n"/>
      <c r="F368" s="21" t="n"/>
    </row>
    <row r="369">
      <c r="A369" s="24" t="n"/>
      <c r="B369" s="21" t="n"/>
      <c r="C369" s="21" t="n"/>
      <c r="D369" s="21" t="n"/>
      <c r="E369" s="26" t="n"/>
      <c r="F369" s="21" t="n"/>
    </row>
    <row r="370">
      <c r="A370" s="24" t="n"/>
      <c r="B370" s="21" t="n"/>
      <c r="C370" s="21" t="n"/>
      <c r="D370" s="21" t="n"/>
      <c r="E370" s="26" t="n"/>
      <c r="F370" s="21" t="n"/>
    </row>
    <row r="371">
      <c r="A371" s="24" t="n"/>
      <c r="B371" s="21" t="n"/>
      <c r="C371" s="21" t="n"/>
      <c r="D371" s="21" t="n"/>
      <c r="E371" s="26" t="n"/>
      <c r="F371" s="21" t="n"/>
    </row>
    <row r="372">
      <c r="A372" s="24" t="n"/>
      <c r="B372" s="21" t="n"/>
      <c r="C372" s="21" t="n"/>
      <c r="D372" s="21" t="n"/>
      <c r="E372" s="26" t="n"/>
      <c r="F372" s="21" t="n"/>
    </row>
    <row r="373">
      <c r="A373" s="24" t="n"/>
      <c r="B373" s="21" t="n"/>
      <c r="C373" s="21" t="n"/>
      <c r="D373" s="21" t="n"/>
      <c r="E373" s="26" t="n"/>
      <c r="F373" s="21" t="n"/>
    </row>
    <row r="374">
      <c r="A374" s="24" t="n"/>
      <c r="B374" s="21" t="n"/>
      <c r="C374" s="21" t="n"/>
      <c r="D374" s="21" t="n"/>
      <c r="E374" s="26" t="n"/>
      <c r="F374" s="21" t="n"/>
    </row>
    <row r="375">
      <c r="A375" s="24" t="n"/>
      <c r="B375" s="21" t="n"/>
      <c r="C375" s="21" t="n"/>
      <c r="D375" s="21" t="n"/>
      <c r="E375" s="26" t="n"/>
      <c r="F375" s="21" t="n"/>
    </row>
    <row r="376">
      <c r="A376" s="24" t="n"/>
      <c r="B376" s="21" t="n"/>
      <c r="C376" s="21" t="n"/>
      <c r="D376" s="21" t="n"/>
      <c r="E376" s="26" t="n"/>
      <c r="F376" s="21" t="n"/>
    </row>
    <row r="377">
      <c r="A377" s="24" t="n"/>
      <c r="B377" s="21" t="n"/>
      <c r="C377" s="21" t="n"/>
      <c r="D377" s="21" t="n"/>
      <c r="E377" s="26" t="n"/>
      <c r="F377" s="21" t="n"/>
    </row>
    <row r="378">
      <c r="A378" s="24" t="n"/>
      <c r="B378" s="21" t="n"/>
      <c r="C378" s="21" t="n"/>
      <c r="D378" s="21" t="n"/>
      <c r="E378" s="26" t="n"/>
      <c r="F378" s="21" t="n"/>
    </row>
    <row r="379">
      <c r="A379" s="24" t="n"/>
      <c r="B379" s="21" t="n"/>
      <c r="C379" s="21" t="n"/>
      <c r="D379" s="21" t="n"/>
      <c r="E379" s="26" t="n"/>
      <c r="F379" s="21" t="n"/>
    </row>
    <row r="380">
      <c r="A380" s="24" t="n"/>
      <c r="B380" s="21" t="n"/>
      <c r="C380" s="21" t="n"/>
      <c r="D380" s="21" t="n"/>
      <c r="E380" s="26" t="n"/>
      <c r="F380" s="21" t="n"/>
    </row>
    <row r="381">
      <c r="A381" s="24" t="n"/>
      <c r="B381" s="21" t="n"/>
      <c r="C381" s="21" t="n"/>
      <c r="D381" s="21" t="n"/>
      <c r="E381" s="26" t="n"/>
      <c r="F381" s="21" t="n"/>
    </row>
    <row r="382">
      <c r="A382" s="24" t="n"/>
      <c r="B382" s="21" t="n"/>
      <c r="C382" s="21" t="n"/>
      <c r="D382" s="21" t="n"/>
      <c r="E382" s="26" t="n"/>
      <c r="F382" s="21" t="n"/>
    </row>
    <row r="383">
      <c r="A383" s="24" t="n"/>
      <c r="B383" s="21" t="n"/>
      <c r="C383" s="21" t="n"/>
      <c r="D383" s="21" t="n"/>
      <c r="E383" s="26" t="n"/>
      <c r="F383" s="21" t="n"/>
    </row>
    <row r="384">
      <c r="A384" s="24" t="n"/>
      <c r="B384" s="21" t="n"/>
      <c r="C384" s="21" t="n"/>
      <c r="D384" s="21" t="n"/>
      <c r="E384" s="26" t="n"/>
      <c r="F384" s="21" t="n"/>
    </row>
    <row r="385">
      <c r="A385" s="24" t="n"/>
      <c r="B385" s="21" t="n"/>
      <c r="C385" s="21" t="n"/>
      <c r="D385" s="21" t="n"/>
      <c r="E385" s="26" t="n"/>
      <c r="F385" s="21" t="n"/>
    </row>
    <row r="386">
      <c r="A386" s="24" t="n"/>
      <c r="B386" s="21" t="n"/>
      <c r="C386" s="21" t="n"/>
      <c r="D386" s="21" t="n"/>
      <c r="E386" s="26" t="n"/>
      <c r="F386" s="21" t="n"/>
    </row>
    <row r="387">
      <c r="A387" s="24" t="n"/>
      <c r="B387" s="21" t="n"/>
      <c r="C387" s="21" t="n"/>
      <c r="D387" s="21" t="n"/>
      <c r="E387" s="26" t="n"/>
      <c r="F387" s="21" t="n"/>
    </row>
    <row r="388">
      <c r="A388" s="24" t="n"/>
      <c r="B388" s="21" t="n"/>
      <c r="C388" s="21" t="n"/>
      <c r="D388" s="21" t="n"/>
      <c r="E388" s="26" t="n"/>
      <c r="F388" s="21" t="n"/>
    </row>
    <row r="389">
      <c r="A389" s="24" t="n"/>
      <c r="B389" s="21" t="n"/>
      <c r="C389" s="21" t="n"/>
      <c r="D389" s="21" t="n"/>
      <c r="E389" s="26" t="n"/>
      <c r="F389" s="21" t="n"/>
    </row>
    <row r="390">
      <c r="A390" s="24" t="n"/>
      <c r="B390" s="21" t="n"/>
      <c r="C390" s="21" t="n"/>
      <c r="D390" s="21" t="n"/>
      <c r="E390" s="26" t="n"/>
      <c r="F390" s="21" t="n"/>
    </row>
    <row r="391">
      <c r="A391" s="24" t="n"/>
      <c r="B391" s="21" t="n"/>
      <c r="C391" s="21" t="n"/>
      <c r="D391" s="21" t="n"/>
      <c r="E391" s="26" t="n"/>
      <c r="F391" s="21" t="n"/>
    </row>
    <row r="392">
      <c r="A392" s="24" t="n"/>
      <c r="B392" s="21" t="n"/>
      <c r="C392" s="21" t="n"/>
      <c r="D392" s="21" t="n"/>
      <c r="E392" s="26" t="n"/>
      <c r="F392" s="21" t="n"/>
    </row>
    <row r="393">
      <c r="A393" s="24" t="n"/>
      <c r="B393" s="21" t="n"/>
      <c r="C393" s="21" t="n"/>
      <c r="D393" s="21" t="n"/>
      <c r="E393" s="26" t="n"/>
      <c r="F393" s="21" t="n"/>
    </row>
    <row r="394">
      <c r="A394" s="24" t="n"/>
      <c r="B394" s="21" t="n"/>
      <c r="C394" s="21" t="n"/>
      <c r="D394" s="21" t="n"/>
      <c r="E394" s="26" t="n"/>
      <c r="F394" s="21" t="n"/>
    </row>
    <row r="395">
      <c r="A395" s="24" t="n"/>
      <c r="B395" s="21" t="n"/>
      <c r="C395" s="21" t="n"/>
      <c r="D395" s="21" t="n"/>
      <c r="E395" s="26" t="n"/>
      <c r="F395" s="21" t="n"/>
    </row>
    <row r="396">
      <c r="A396" s="24" t="n"/>
      <c r="B396" s="21" t="n"/>
      <c r="C396" s="21" t="n"/>
      <c r="D396" s="21" t="n"/>
      <c r="E396" s="26" t="n"/>
      <c r="F396" s="21" t="n"/>
    </row>
    <row r="397">
      <c r="A397" s="24" t="n"/>
      <c r="B397" s="21" t="n"/>
      <c r="C397" s="21" t="n"/>
      <c r="D397" s="21" t="n"/>
      <c r="E397" s="26" t="n"/>
      <c r="F397" s="21" t="n"/>
    </row>
    <row r="398">
      <c r="A398" s="24" t="n"/>
      <c r="B398" s="21" t="n"/>
      <c r="C398" s="21" t="n"/>
      <c r="D398" s="21" t="n"/>
      <c r="E398" s="26" t="n"/>
      <c r="F398" s="21" t="n"/>
    </row>
    <row r="399">
      <c r="A399" s="24" t="n"/>
      <c r="B399" s="21" t="n"/>
      <c r="C399" s="21" t="n"/>
      <c r="D399" s="21" t="n"/>
      <c r="E399" s="26" t="n"/>
      <c r="F399" s="21" t="n"/>
    </row>
    <row r="400">
      <c r="A400" s="24" t="n"/>
      <c r="B400" s="21" t="n"/>
      <c r="C400" s="21" t="n"/>
      <c r="D400" s="21" t="n"/>
      <c r="E400" s="26" t="n"/>
      <c r="F400" s="21" t="n"/>
    </row>
    <row r="401">
      <c r="A401" s="24" t="n"/>
      <c r="B401" s="21" t="n"/>
      <c r="C401" s="21" t="n"/>
      <c r="D401" s="21" t="n"/>
      <c r="E401" s="26" t="n"/>
      <c r="F401" s="21" t="n"/>
    </row>
    <row r="402">
      <c r="A402" s="24" t="n"/>
      <c r="B402" s="21" t="n"/>
      <c r="C402" s="21" t="n"/>
      <c r="D402" s="21" t="n"/>
      <c r="E402" s="26" t="n"/>
      <c r="F402" s="21" t="n"/>
    </row>
    <row r="403">
      <c r="A403" s="24" t="n"/>
      <c r="B403" s="21" t="n"/>
      <c r="C403" s="21" t="n"/>
      <c r="D403" s="21" t="n"/>
      <c r="E403" s="26" t="n"/>
      <c r="F403" s="21" t="n"/>
    </row>
    <row r="404">
      <c r="A404" s="24" t="n"/>
      <c r="B404" s="21" t="n"/>
      <c r="C404" s="21" t="n"/>
      <c r="D404" s="21" t="n"/>
      <c r="E404" s="26" t="n"/>
      <c r="F404" s="21" t="n"/>
    </row>
    <row r="405">
      <c r="A405" s="24" t="n"/>
      <c r="B405" s="21" t="n"/>
      <c r="C405" s="21" t="n"/>
      <c r="D405" s="21" t="n"/>
      <c r="E405" s="26" t="n"/>
      <c r="F405" s="21" t="n"/>
    </row>
    <row r="406">
      <c r="A406" s="24" t="n"/>
      <c r="B406" s="21" t="n"/>
      <c r="C406" s="21" t="n"/>
      <c r="D406" s="21" t="n"/>
      <c r="E406" s="26" t="n"/>
      <c r="F406" s="21" t="n"/>
    </row>
    <row r="407">
      <c r="A407" s="24" t="n"/>
      <c r="B407" s="21" t="n"/>
      <c r="C407" s="21" t="n"/>
      <c r="D407" s="21" t="n"/>
      <c r="E407" s="26" t="n"/>
      <c r="F407" s="21" t="n"/>
    </row>
    <row r="408">
      <c r="A408" s="24" t="n"/>
      <c r="B408" s="21" t="n"/>
      <c r="C408" s="21" t="n"/>
      <c r="D408" s="21" t="n"/>
      <c r="E408" s="26" t="n"/>
      <c r="F408" s="21" t="n"/>
    </row>
    <row r="409">
      <c r="A409" s="24" t="n"/>
      <c r="B409" s="21" t="n"/>
      <c r="C409" s="21" t="n"/>
      <c r="D409" s="21" t="n"/>
      <c r="E409" s="26" t="n"/>
      <c r="F409" s="21" t="n"/>
    </row>
    <row r="410">
      <c r="A410" s="24" t="n"/>
      <c r="B410" s="21" t="n"/>
      <c r="C410" s="21" t="n"/>
      <c r="D410" s="21" t="n"/>
      <c r="E410" s="26" t="n"/>
      <c r="F410" s="21" t="n"/>
    </row>
    <row r="411">
      <c r="A411" s="24" t="n"/>
      <c r="B411" s="21" t="n"/>
      <c r="C411" s="21" t="n"/>
      <c r="D411" s="21" t="n"/>
      <c r="E411" s="26" t="n"/>
      <c r="F411" s="21" t="n"/>
    </row>
    <row r="412">
      <c r="A412" s="24" t="n"/>
      <c r="B412" s="21" t="n"/>
      <c r="C412" s="21" t="n"/>
      <c r="D412" s="21" t="n"/>
      <c r="E412" s="26" t="n"/>
      <c r="F412" s="21" t="n"/>
    </row>
    <row r="413">
      <c r="A413" s="24" t="n"/>
      <c r="B413" s="21" t="n"/>
      <c r="C413" s="21" t="n"/>
      <c r="D413" s="21" t="n"/>
      <c r="E413" s="26" t="n"/>
      <c r="F413" s="21" t="n"/>
    </row>
    <row r="414">
      <c r="A414" s="24" t="n"/>
      <c r="B414" s="21" t="n"/>
      <c r="C414" s="21" t="n"/>
      <c r="D414" s="21" t="n"/>
      <c r="E414" s="26" t="n"/>
      <c r="F414" s="21" t="n"/>
    </row>
    <row r="415">
      <c r="A415" s="24" t="n"/>
      <c r="B415" s="21" t="n"/>
      <c r="C415" s="21" t="n"/>
      <c r="D415" s="21" t="n"/>
      <c r="E415" s="26" t="n"/>
      <c r="F415" s="21" t="n"/>
    </row>
    <row r="416">
      <c r="A416" s="24" t="n"/>
      <c r="B416" s="21" t="n"/>
      <c r="C416" s="21" t="n"/>
      <c r="D416" s="21" t="n"/>
      <c r="E416" s="26" t="n"/>
      <c r="F416" s="21" t="n"/>
    </row>
    <row r="417">
      <c r="A417" s="24" t="n"/>
      <c r="B417" s="21" t="n"/>
      <c r="C417" s="21" t="n"/>
      <c r="D417" s="21" t="n"/>
      <c r="E417" s="26" t="n"/>
      <c r="F417" s="21" t="n"/>
    </row>
    <row r="418">
      <c r="A418" s="24" t="n"/>
      <c r="B418" s="21" t="n"/>
      <c r="C418" s="21" t="n"/>
      <c r="D418" s="21" t="n"/>
      <c r="E418" s="26" t="n"/>
      <c r="F418" s="21" t="n"/>
    </row>
    <row r="419">
      <c r="A419" s="24" t="n"/>
      <c r="B419" s="21" t="n"/>
      <c r="C419" s="21" t="n"/>
      <c r="D419" s="21" t="n"/>
      <c r="E419" s="26" t="n"/>
      <c r="F419" s="21" t="n"/>
    </row>
    <row r="420">
      <c r="A420" s="24" t="n"/>
      <c r="B420" s="21" t="n"/>
      <c r="C420" s="21" t="n"/>
      <c r="D420" s="21" t="n"/>
      <c r="E420" s="26" t="n"/>
      <c r="F420" s="21" t="n"/>
    </row>
    <row r="421">
      <c r="A421" s="24" t="n"/>
      <c r="B421" s="21" t="n"/>
      <c r="C421" s="21" t="n"/>
      <c r="D421" s="21" t="n"/>
      <c r="E421" s="26" t="n"/>
      <c r="F421" s="21" t="n"/>
    </row>
    <row r="422">
      <c r="A422" s="24" t="n"/>
      <c r="B422" s="21" t="n"/>
      <c r="C422" s="21" t="n"/>
      <c r="D422" s="21" t="n"/>
      <c r="E422" s="26" t="n"/>
      <c r="F422" s="21" t="n"/>
    </row>
    <row r="423">
      <c r="A423" s="24" t="n"/>
      <c r="B423" s="21" t="n"/>
      <c r="C423" s="21" t="n"/>
      <c r="D423" s="21" t="n"/>
      <c r="E423" s="26" t="n"/>
      <c r="F423" s="21" t="n"/>
    </row>
    <row r="424">
      <c r="A424" s="24" t="n"/>
      <c r="B424" s="21" t="n"/>
      <c r="C424" s="21" t="n"/>
      <c r="D424" s="21" t="n"/>
      <c r="E424" s="26" t="n"/>
      <c r="F424" s="21" t="n"/>
    </row>
    <row r="425">
      <c r="A425" s="24" t="n"/>
      <c r="B425" s="21" t="n"/>
      <c r="C425" s="21" t="n"/>
      <c r="D425" s="21" t="n"/>
      <c r="E425" s="26" t="n"/>
      <c r="F425" s="21" t="n"/>
    </row>
    <row r="426">
      <c r="A426" s="24" t="n"/>
      <c r="B426" s="21" t="n"/>
      <c r="C426" s="21" t="n"/>
      <c r="D426" s="21" t="n"/>
      <c r="E426" s="26" t="n"/>
      <c r="F426" s="21" t="n"/>
    </row>
    <row r="427">
      <c r="A427" s="24" t="n"/>
      <c r="B427" s="21" t="n"/>
      <c r="C427" s="21" t="n"/>
      <c r="D427" s="21" t="n"/>
      <c r="E427" s="26" t="n"/>
      <c r="F427" s="21" t="n"/>
    </row>
    <row r="428">
      <c r="A428" s="24" t="n"/>
      <c r="B428" s="21" t="n"/>
      <c r="C428" s="21" t="n"/>
      <c r="D428" s="21" t="n"/>
      <c r="E428" s="26" t="n"/>
      <c r="F428" s="21" t="n"/>
    </row>
    <row r="429">
      <c r="A429" s="24" t="n"/>
      <c r="B429" s="21" t="n"/>
      <c r="C429" s="21" t="n"/>
      <c r="D429" s="21" t="n"/>
      <c r="E429" s="26" t="n"/>
      <c r="F429" s="21" t="n"/>
    </row>
    <row r="430">
      <c r="A430" s="24" t="n"/>
      <c r="B430" s="21" t="n"/>
      <c r="C430" s="21" t="n"/>
      <c r="D430" s="21" t="n"/>
      <c r="E430" s="26" t="n"/>
      <c r="F430" s="21" t="n"/>
    </row>
    <row r="431">
      <c r="A431" s="24" t="n"/>
      <c r="B431" s="21" t="n"/>
      <c r="C431" s="21" t="n"/>
      <c r="D431" s="21" t="n"/>
      <c r="E431" s="26" t="n"/>
      <c r="F431" s="21" t="n"/>
    </row>
    <row r="432">
      <c r="A432" s="24" t="n"/>
      <c r="B432" s="21" t="n"/>
      <c r="C432" s="21" t="n"/>
      <c r="D432" s="21" t="n"/>
      <c r="E432" s="26" t="n"/>
      <c r="F432" s="21" t="n"/>
    </row>
    <row r="433">
      <c r="A433" s="24" t="n"/>
      <c r="B433" s="21" t="n"/>
      <c r="C433" s="21" t="n"/>
      <c r="D433" s="21" t="n"/>
      <c r="E433" s="26" t="n"/>
      <c r="F433" s="21" t="n"/>
    </row>
    <row r="434">
      <c r="A434" s="24" t="n"/>
      <c r="B434" s="21" t="n"/>
      <c r="C434" s="21" t="n"/>
      <c r="D434" s="21" t="n"/>
      <c r="E434" s="26" t="n"/>
      <c r="F434" s="21" t="n"/>
    </row>
    <row r="435">
      <c r="A435" s="24" t="n"/>
      <c r="B435" s="21" t="n"/>
      <c r="C435" s="21" t="n"/>
      <c r="D435" s="21" t="n"/>
      <c r="E435" s="26" t="n"/>
      <c r="F435" s="21" t="n"/>
    </row>
    <row r="436">
      <c r="A436" s="24" t="n"/>
      <c r="B436" s="21" t="n"/>
      <c r="C436" s="21" t="n"/>
      <c r="D436" s="21" t="n"/>
      <c r="E436" s="26" t="n"/>
      <c r="F436" s="21" t="n"/>
    </row>
    <row r="437">
      <c r="A437" s="24" t="n"/>
      <c r="B437" s="21" t="n"/>
      <c r="C437" s="21" t="n"/>
      <c r="D437" s="21" t="n"/>
      <c r="E437" s="26" t="n"/>
      <c r="F437" s="21" t="n"/>
    </row>
    <row r="438">
      <c r="A438" s="24" t="n"/>
      <c r="B438" s="21" t="n"/>
      <c r="C438" s="21" t="n"/>
      <c r="D438" s="21" t="n"/>
      <c r="E438" s="26" t="n"/>
      <c r="F438" s="21" t="n"/>
    </row>
    <row r="439">
      <c r="A439" s="24" t="n"/>
      <c r="B439" s="21" t="n"/>
      <c r="C439" s="21" t="n"/>
      <c r="D439" s="21" t="n"/>
      <c r="E439" s="26" t="n"/>
      <c r="F439" s="21" t="n"/>
    </row>
    <row r="440">
      <c r="A440" s="24" t="n"/>
      <c r="B440" s="21" t="n"/>
      <c r="C440" s="21" t="n"/>
      <c r="D440" s="21" t="n"/>
      <c r="E440" s="26" t="n"/>
      <c r="F440" s="21" t="n"/>
    </row>
    <row r="441">
      <c r="A441" s="24" t="n"/>
      <c r="B441" s="21" t="n"/>
      <c r="C441" s="21" t="n"/>
      <c r="D441" s="21" t="n"/>
      <c r="E441" s="26" t="n"/>
      <c r="F441" s="21" t="n"/>
    </row>
    <row r="442">
      <c r="A442" s="24" t="n"/>
      <c r="B442" s="21" t="n"/>
      <c r="C442" s="21" t="n"/>
      <c r="D442" s="21" t="n"/>
      <c r="E442" s="26" t="n"/>
      <c r="F442" s="21" t="n"/>
    </row>
    <row r="443">
      <c r="A443" s="24" t="n"/>
      <c r="B443" s="21" t="n"/>
      <c r="C443" s="21" t="n"/>
      <c r="D443" s="21" t="n"/>
      <c r="E443" s="26" t="n"/>
      <c r="F443" s="21" t="n"/>
    </row>
    <row r="444">
      <c r="A444" s="24" t="n"/>
      <c r="B444" s="21" t="n"/>
      <c r="C444" s="21" t="n"/>
      <c r="D444" s="21" t="n"/>
      <c r="E444" s="26" t="n"/>
      <c r="F444" s="21" t="n"/>
    </row>
    <row r="445">
      <c r="A445" s="24" t="n"/>
      <c r="B445" s="21" t="n"/>
      <c r="C445" s="21" t="n"/>
      <c r="D445" s="21" t="n"/>
      <c r="E445" s="26" t="n"/>
      <c r="F445" s="21" t="n"/>
    </row>
    <row r="446">
      <c r="A446" s="24" t="n"/>
      <c r="B446" s="21" t="n"/>
      <c r="C446" s="21" t="n"/>
      <c r="D446" s="21" t="n"/>
      <c r="E446" s="26" t="n"/>
      <c r="F446" s="21" t="n"/>
    </row>
    <row r="447">
      <c r="A447" s="24" t="n"/>
      <c r="B447" s="21" t="n"/>
      <c r="C447" s="21" t="n"/>
      <c r="D447" s="21" t="n"/>
      <c r="E447" s="26" t="n"/>
      <c r="F447" s="21" t="n"/>
    </row>
    <row r="448">
      <c r="A448" s="24" t="n"/>
      <c r="B448" s="21" t="n"/>
      <c r="C448" s="21" t="n"/>
      <c r="D448" s="21" t="n"/>
      <c r="E448" s="26" t="n"/>
      <c r="F448" s="21" t="n"/>
    </row>
    <row r="449">
      <c r="A449" s="24" t="n"/>
      <c r="B449" s="21" t="n"/>
      <c r="C449" s="21" t="n"/>
      <c r="D449" s="21" t="n"/>
      <c r="E449" s="26" t="n"/>
      <c r="F449" s="21" t="n"/>
    </row>
    <row r="450">
      <c r="A450" s="24" t="n"/>
      <c r="B450" s="21" t="n"/>
      <c r="C450" s="21" t="n"/>
      <c r="D450" s="21" t="n"/>
      <c r="E450" s="26" t="n"/>
      <c r="F450" s="21" t="n"/>
    </row>
    <row r="451">
      <c r="A451" s="24" t="n"/>
      <c r="B451" s="21" t="n"/>
      <c r="C451" s="21" t="n"/>
      <c r="D451" s="21" t="n"/>
      <c r="E451" s="26" t="n"/>
      <c r="F451" s="21" t="n"/>
    </row>
    <row r="452">
      <c r="A452" s="24" t="n"/>
      <c r="B452" s="21" t="n"/>
      <c r="C452" s="21" t="n"/>
      <c r="D452" s="21" t="n"/>
      <c r="E452" s="26" t="n"/>
      <c r="F452" s="21" t="n"/>
    </row>
    <row r="453">
      <c r="A453" s="24" t="n"/>
      <c r="B453" s="21" t="n"/>
      <c r="C453" s="21" t="n"/>
      <c r="D453" s="21" t="n"/>
      <c r="E453" s="26" t="n"/>
      <c r="F453" s="21" t="n"/>
    </row>
    <row r="454">
      <c r="A454" s="24" t="n"/>
      <c r="B454" s="21" t="n"/>
      <c r="C454" s="21" t="n"/>
      <c r="D454" s="21" t="n"/>
      <c r="E454" s="26" t="n"/>
      <c r="F454" s="21" t="n"/>
    </row>
    <row r="455">
      <c r="A455" s="24" t="n"/>
      <c r="B455" s="21" t="n"/>
      <c r="C455" s="21" t="n"/>
      <c r="D455" s="21" t="n"/>
      <c r="E455" s="26" t="n"/>
      <c r="F455" s="21" t="n"/>
    </row>
    <row r="456">
      <c r="A456" s="24" t="n"/>
      <c r="B456" s="21" t="n"/>
      <c r="C456" s="21" t="n"/>
      <c r="D456" s="21" t="n"/>
      <c r="E456" s="26" t="n"/>
      <c r="F456" s="21" t="n"/>
    </row>
    <row r="457">
      <c r="A457" s="24" t="n"/>
      <c r="B457" s="21" t="n"/>
      <c r="C457" s="21" t="n"/>
      <c r="D457" s="21" t="n"/>
      <c r="E457" s="26" t="n"/>
      <c r="F457" s="21" t="n"/>
    </row>
    <row r="458">
      <c r="A458" s="24" t="n"/>
      <c r="B458" s="21" t="n"/>
      <c r="C458" s="21" t="n"/>
      <c r="D458" s="21" t="n"/>
      <c r="E458" s="26" t="n"/>
      <c r="F458" s="21" t="n"/>
    </row>
    <row r="459">
      <c r="A459" s="24" t="n"/>
      <c r="B459" s="21" t="n"/>
      <c r="C459" s="21" t="n"/>
      <c r="D459" s="21" t="n"/>
      <c r="E459" s="26" t="n"/>
      <c r="F459" s="21" t="n"/>
    </row>
    <row r="460">
      <c r="A460" s="24" t="n"/>
      <c r="B460" s="21" t="n"/>
      <c r="C460" s="21" t="n"/>
      <c r="D460" s="21" t="n"/>
      <c r="E460" s="26" t="n"/>
      <c r="F460" s="21" t="n"/>
    </row>
    <row r="461">
      <c r="A461" s="24" t="n"/>
      <c r="B461" s="21" t="n"/>
      <c r="C461" s="21" t="n"/>
      <c r="D461" s="21" t="n"/>
      <c r="E461" s="26" t="n"/>
      <c r="F461" s="21" t="n"/>
    </row>
    <row r="462">
      <c r="A462" s="24" t="n"/>
      <c r="B462" s="21" t="n"/>
      <c r="C462" s="21" t="n"/>
      <c r="D462" s="21" t="n"/>
      <c r="E462" s="26" t="n"/>
      <c r="F462" s="21" t="n"/>
    </row>
    <row r="463">
      <c r="A463" s="24" t="n"/>
      <c r="B463" s="21" t="n"/>
      <c r="C463" s="21" t="n"/>
      <c r="D463" s="21" t="n"/>
      <c r="E463" s="26" t="n"/>
      <c r="F463" s="21" t="n"/>
    </row>
    <row r="464">
      <c r="A464" s="24" t="n"/>
      <c r="B464" s="21" t="n"/>
      <c r="C464" s="21" t="n"/>
      <c r="D464" s="21" t="n"/>
      <c r="E464" s="26" t="n"/>
      <c r="F464" s="21" t="n"/>
    </row>
    <row r="465">
      <c r="A465" s="24" t="n"/>
      <c r="B465" s="21" t="n"/>
      <c r="C465" s="21" t="n"/>
      <c r="D465" s="21" t="n"/>
      <c r="E465" s="26" t="n"/>
      <c r="F465" s="21" t="n"/>
    </row>
    <row r="466">
      <c r="A466" s="24" t="n"/>
      <c r="B466" s="21" t="n"/>
      <c r="C466" s="21" t="n"/>
      <c r="D466" s="21" t="n"/>
      <c r="E466" s="26" t="n"/>
      <c r="F466" s="21" t="n"/>
    </row>
    <row r="467">
      <c r="A467" s="24" t="n"/>
      <c r="B467" s="21" t="n"/>
      <c r="C467" s="21" t="n"/>
      <c r="D467" s="21" t="n"/>
      <c r="E467" s="26" t="n"/>
      <c r="F467" s="21" t="n"/>
    </row>
    <row r="468">
      <c r="A468" s="24" t="n"/>
      <c r="B468" s="21" t="n"/>
      <c r="C468" s="21" t="n"/>
      <c r="D468" s="21" t="n"/>
      <c r="E468" s="26" t="n"/>
      <c r="F468" s="21" t="n"/>
    </row>
    <row r="469">
      <c r="A469" s="24" t="n"/>
      <c r="B469" s="21" t="n"/>
      <c r="C469" s="21" t="n"/>
      <c r="D469" s="21" t="n"/>
      <c r="E469" s="26" t="n"/>
      <c r="F469" s="21" t="n"/>
    </row>
    <row r="470">
      <c r="A470" s="24" t="n"/>
      <c r="B470" s="21" t="n"/>
      <c r="C470" s="21" t="n"/>
      <c r="D470" s="21" t="n"/>
      <c r="E470" s="26" t="n"/>
      <c r="F470" s="21" t="n"/>
    </row>
    <row r="471">
      <c r="A471" s="24" t="n"/>
      <c r="B471" s="21" t="n"/>
      <c r="C471" s="21" t="n"/>
      <c r="D471" s="21" t="n"/>
      <c r="E471" s="26" t="n"/>
      <c r="F471" s="21" t="n"/>
    </row>
    <row r="472">
      <c r="A472" s="24" t="n"/>
      <c r="B472" s="21" t="n"/>
      <c r="C472" s="21" t="n"/>
      <c r="D472" s="21" t="n"/>
      <c r="E472" s="26" t="n"/>
      <c r="F472" s="21" t="n"/>
    </row>
    <row r="473">
      <c r="A473" s="24" t="n"/>
      <c r="B473" s="21" t="n"/>
      <c r="C473" s="21" t="n"/>
      <c r="D473" s="21" t="n"/>
      <c r="E473" s="26" t="n"/>
      <c r="F473" s="21" t="n"/>
    </row>
    <row r="474">
      <c r="A474" s="24" t="n"/>
      <c r="B474" s="21" t="n"/>
      <c r="C474" s="21" t="n"/>
      <c r="D474" s="21" t="n"/>
      <c r="E474" s="26" t="n"/>
      <c r="F474" s="21" t="n"/>
    </row>
    <row r="475">
      <c r="A475" s="24" t="n"/>
      <c r="B475" s="21" t="n"/>
      <c r="C475" s="21" t="n"/>
      <c r="D475" s="21" t="n"/>
      <c r="E475" s="26" t="n"/>
      <c r="F475" s="21" t="n"/>
    </row>
    <row r="476">
      <c r="A476" s="24" t="n"/>
      <c r="B476" s="21" t="n"/>
      <c r="C476" s="21" t="n"/>
      <c r="D476" s="21" t="n"/>
      <c r="E476" s="26" t="n"/>
      <c r="F476" s="21" t="n"/>
    </row>
    <row r="477">
      <c r="A477" s="24" t="n"/>
      <c r="B477" s="21" t="n"/>
      <c r="C477" s="21" t="n"/>
      <c r="D477" s="21" t="n"/>
      <c r="E477" s="26" t="n"/>
      <c r="F477" s="21" t="n"/>
    </row>
    <row r="478">
      <c r="A478" s="24" t="n"/>
      <c r="B478" s="21" t="n"/>
      <c r="C478" s="21" t="n"/>
      <c r="D478" s="21" t="n"/>
      <c r="E478" s="26" t="n"/>
      <c r="F478" s="21" t="n"/>
    </row>
    <row r="479">
      <c r="A479" s="24" t="n"/>
      <c r="B479" s="21" t="n"/>
      <c r="C479" s="21" t="n"/>
      <c r="D479" s="21" t="n"/>
      <c r="E479" s="26" t="n"/>
      <c r="F479" s="21" t="n"/>
    </row>
    <row r="480">
      <c r="A480" s="24" t="n"/>
      <c r="B480" s="21" t="n"/>
      <c r="C480" s="21" t="n"/>
      <c r="D480" s="21" t="n"/>
      <c r="E480" s="26" t="n"/>
      <c r="F480" s="21" t="n"/>
    </row>
    <row r="481">
      <c r="A481" s="24" t="n"/>
      <c r="B481" s="21" t="n"/>
      <c r="C481" s="21" t="n"/>
      <c r="D481" s="21" t="n"/>
      <c r="E481" s="26" t="n"/>
      <c r="F481" s="21" t="n"/>
    </row>
    <row r="482">
      <c r="A482" s="24" t="n"/>
      <c r="B482" s="21" t="n"/>
      <c r="C482" s="21" t="n"/>
      <c r="D482" s="21" t="n"/>
      <c r="E482" s="26" t="n"/>
      <c r="F482" s="21" t="n"/>
    </row>
    <row r="483">
      <c r="A483" s="24" t="n"/>
      <c r="B483" s="21" t="n"/>
      <c r="C483" s="21" t="n"/>
      <c r="D483" s="21" t="n"/>
      <c r="E483" s="26" t="n"/>
      <c r="F483" s="21" t="n"/>
    </row>
    <row r="484">
      <c r="A484" s="24" t="n"/>
      <c r="B484" s="21" t="n"/>
      <c r="C484" s="21" t="n"/>
      <c r="D484" s="21" t="n"/>
      <c r="E484" s="26" t="n"/>
      <c r="F484" s="21" t="n"/>
    </row>
    <row r="485">
      <c r="A485" s="24" t="n"/>
      <c r="B485" s="21" t="n"/>
      <c r="C485" s="21" t="n"/>
      <c r="D485" s="21" t="n"/>
      <c r="E485" s="26" t="n"/>
      <c r="F485" s="21" t="n"/>
    </row>
    <row r="486">
      <c r="A486" s="24" t="n"/>
      <c r="B486" s="21" t="n"/>
      <c r="C486" s="21" t="n"/>
      <c r="D486" s="21" t="n"/>
      <c r="E486" s="26" t="n"/>
      <c r="F486" s="21" t="n"/>
    </row>
    <row r="487">
      <c r="A487" s="24" t="n"/>
      <c r="B487" s="21" t="n"/>
      <c r="C487" s="21" t="n"/>
      <c r="D487" s="21" t="n"/>
      <c r="E487" s="26" t="n"/>
      <c r="F487" s="21" t="n"/>
    </row>
    <row r="488">
      <c r="A488" s="24" t="n"/>
      <c r="B488" s="21" t="n"/>
      <c r="C488" s="21" t="n"/>
      <c r="D488" s="21" t="n"/>
      <c r="E488" s="26" t="n"/>
      <c r="F488" s="21" t="n"/>
    </row>
    <row r="489">
      <c r="A489" s="24" t="n"/>
      <c r="B489" s="21" t="n"/>
      <c r="C489" s="21" t="n"/>
      <c r="D489" s="21" t="n"/>
      <c r="E489" s="26" t="n"/>
      <c r="F489" s="21" t="n"/>
    </row>
    <row r="490">
      <c r="A490" s="24" t="n"/>
      <c r="B490" s="21" t="n"/>
      <c r="C490" s="21" t="n"/>
      <c r="D490" s="21" t="n"/>
      <c r="E490" s="26" t="n"/>
      <c r="F490" s="21" t="n"/>
    </row>
    <row r="491">
      <c r="A491" s="24" t="n"/>
      <c r="B491" s="21" t="n"/>
      <c r="C491" s="21" t="n"/>
      <c r="D491" s="21" t="n"/>
      <c r="E491" s="26" t="n"/>
      <c r="F491" s="21" t="n"/>
    </row>
    <row r="492">
      <c r="A492" s="24" t="n"/>
      <c r="B492" s="21" t="n"/>
      <c r="C492" s="21" t="n"/>
      <c r="D492" s="21" t="n"/>
      <c r="E492" s="26" t="n"/>
      <c r="F492" s="21" t="n"/>
    </row>
    <row r="493">
      <c r="A493" s="24" t="n"/>
      <c r="B493" s="21" t="n"/>
      <c r="C493" s="21" t="n"/>
      <c r="D493" s="21" t="n"/>
      <c r="E493" s="26" t="n"/>
      <c r="F493" s="21" t="n"/>
    </row>
    <row r="494">
      <c r="A494" s="24" t="n"/>
      <c r="B494" s="21" t="n"/>
      <c r="C494" s="21" t="n"/>
      <c r="D494" s="21" t="n"/>
      <c r="E494" s="26" t="n"/>
      <c r="F494" s="21" t="n"/>
    </row>
    <row r="495">
      <c r="A495" s="24" t="n"/>
      <c r="B495" s="21" t="n"/>
      <c r="C495" s="21" t="n"/>
      <c r="D495" s="21" t="n"/>
      <c r="E495" s="26" t="n"/>
      <c r="F495" s="21" t="n"/>
    </row>
    <row r="496">
      <c r="A496" s="24" t="n"/>
      <c r="B496" s="21" t="n"/>
      <c r="C496" s="21" t="n"/>
      <c r="D496" s="21" t="n"/>
      <c r="E496" s="26" t="n"/>
      <c r="F496" s="21" t="n"/>
    </row>
    <row r="497">
      <c r="A497" s="24" t="n"/>
      <c r="B497" s="21" t="n"/>
      <c r="C497" s="21" t="n"/>
      <c r="D497" s="21" t="n"/>
      <c r="E497" s="26" t="n"/>
      <c r="F497" s="21" t="n"/>
    </row>
    <row r="498">
      <c r="A498" s="24" t="n"/>
      <c r="B498" s="21" t="n"/>
      <c r="C498" s="21" t="n"/>
      <c r="D498" s="21" t="n"/>
      <c r="E498" s="26" t="n"/>
      <c r="F498" s="21" t="n"/>
    </row>
    <row r="499">
      <c r="A499" s="24" t="n"/>
      <c r="B499" s="21" t="n"/>
      <c r="C499" s="21" t="n"/>
      <c r="D499" s="21" t="n"/>
      <c r="E499" s="26" t="n"/>
      <c r="F499" s="21" t="n"/>
    </row>
    <row r="500">
      <c r="A500" s="24" t="n"/>
      <c r="B500" s="21" t="n"/>
      <c r="C500" s="21" t="n"/>
      <c r="D500" s="21" t="n"/>
      <c r="E500" s="26" t="n"/>
      <c r="F500" s="21" t="n"/>
    </row>
    <row r="501">
      <c r="A501" s="24" t="n"/>
      <c r="B501" s="21" t="n"/>
      <c r="C501" s="21" t="n"/>
      <c r="D501" s="21" t="n"/>
      <c r="E501" s="26" t="n"/>
      <c r="F501" s="21" t="n"/>
    </row>
    <row r="502">
      <c r="A502" s="24" t="n"/>
      <c r="B502" s="21" t="n"/>
      <c r="C502" s="21" t="n"/>
      <c r="D502" s="21" t="n"/>
      <c r="E502" s="26" t="n"/>
      <c r="F502" s="21" t="n"/>
    </row>
    <row r="503">
      <c r="A503" s="24" t="n"/>
      <c r="B503" s="21" t="n"/>
      <c r="C503" s="21" t="n"/>
      <c r="D503" s="21" t="n"/>
      <c r="E503" s="26" t="n"/>
      <c r="F503" s="21" t="n"/>
    </row>
    <row r="504">
      <c r="A504" s="24" t="n"/>
      <c r="B504" s="21" t="n"/>
      <c r="C504" s="21" t="n"/>
      <c r="D504" s="21" t="n"/>
      <c r="E504" s="26" t="n"/>
      <c r="F504" s="21" t="n"/>
    </row>
  </sheetData>
  <dataValidations count="2">
    <dataValidation sqref="B5:B504" showDropDown="0" showInputMessage="0" showErrorMessage="1" allowBlank="1" error="请从下拉列表中选择" type="list">
      <formula1>参数!$L$5:$L$14</formula1>
    </dataValidation>
    <dataValidation sqref="C5:C504" showDropDown="0" showInputMessage="0" showErrorMessage="1" allowBlank="1" error="请从下拉列表中选择" type="list">
      <formula1>参数!$Q$5:$Q$6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22" customWidth="1" min="3" max="3"/>
    <col width="18" customWidth="1" min="4" max="4"/>
    <col width="16" customWidth="1" min="5" max="5"/>
    <col width="18" customWidth="1" min="6" max="6"/>
    <col width="18" customWidth="1" min="7" max="7"/>
    <col width="11" customWidth="1" min="8" max="8"/>
    <col width="9" customWidth="1" min="9" max="9"/>
    <col width="11" customWidth="1" min="10" max="10"/>
    <col width="8" customWidth="1" min="11" max="11"/>
    <col width="12" customWidth="1" min="12" max="12"/>
    <col width="22" customWidth="1" min="13" max="13"/>
    <col width="9" customWidth="1" min="14" max="14"/>
    <col width="9" customWidth="1" min="15" max="15"/>
    <col width="9" customWidth="1" min="16" max="16"/>
    <col width="9" customWidth="1" min="17" max="17"/>
    <col width="22" customWidth="1" min="18" max="18"/>
  </cols>
  <sheetData>
    <row r="1">
      <c r="A1" s="1" t="inlineStr">
        <is>
          <t>30天企业复盘表</t>
        </is>
      </c>
    </row>
    <row r="2">
      <c r="A2" s="2" t="inlineStr">
        <is>
          <t>体验结束时与老板逐项沟通（D01 第十一章、总目录 D06）。A–D 四项为顾问内部判断。</t>
        </is>
      </c>
    </row>
    <row r="4" ht="32" customHeight="1">
      <c r="A4" s="8" t="inlineStr">
        <is>
          <t>企业编号</t>
        </is>
      </c>
      <c r="B4" s="8" t="inlineStr">
        <is>
          <t>复盘日期</t>
        </is>
      </c>
      <c r="C4" s="8" t="inlineStr">
        <is>
          <t>最有价值的服务</t>
        </is>
      </c>
      <c r="D4" s="8" t="inlineStr">
        <is>
          <t>完全没价值的</t>
        </is>
      </c>
      <c r="E4" s="8" t="inlineStr">
        <is>
          <t>没有看的</t>
        </is>
      </c>
      <c r="F4" s="8" t="inlineStr">
        <is>
          <t>想继续的</t>
        </is>
      </c>
      <c r="G4" s="8" t="inlineStr">
        <is>
          <t>愿意付费的服务</t>
        </is>
      </c>
      <c r="H4" s="8" t="inlineStr">
        <is>
          <t>愿意付多少(元/月)</t>
        </is>
      </c>
      <c r="I4" s="8" t="inlineStr">
        <is>
          <t>是否推荐朋友</t>
        </is>
      </c>
      <c r="J4" s="8" t="inlineStr">
        <is>
          <t>是否产生增值/专项需求</t>
        </is>
      </c>
      <c r="K4" s="8" t="inlineStr">
        <is>
          <t>是否转正</t>
        </is>
      </c>
      <c r="L4" s="8" t="inlineStr">
        <is>
          <t>选择套餐</t>
        </is>
      </c>
      <c r="M4" s="8" t="inlineStr">
        <is>
          <t>未转正原因</t>
        </is>
      </c>
      <c r="N4" s="8" t="inlineStr">
        <is>
          <t>A 需求成立？</t>
        </is>
      </c>
      <c r="O4" s="8" t="inlineStr">
        <is>
          <t>B 服务成立？</t>
        </is>
      </c>
      <c r="P4" s="8" t="inlineStr">
        <is>
          <t>C 交付成立？</t>
        </is>
      </c>
      <c r="Q4" s="8" t="inlineStr">
        <is>
          <t>D 商业成立？</t>
        </is>
      </c>
      <c r="R4" s="8" t="inlineStr">
        <is>
          <t>下一步</t>
        </is>
      </c>
    </row>
    <row r="5">
      <c r="A5" s="20" t="inlineStr">
        <is>
          <t>示例-01</t>
        </is>
      </c>
      <c r="B5" s="22" t="n">
        <v>46339</v>
      </c>
      <c r="C5" s="20" t="inlineStr">
        <is>
          <t>应收账龄提醒</t>
        </is>
      </c>
      <c r="D5" s="20" t="inlineStr">
        <is>
          <t>政策资讯</t>
        </is>
      </c>
      <c r="E5" s="20" t="inlineStr">
        <is>
          <t>月度总结</t>
        </is>
      </c>
      <c r="F5" s="20" t="inlineStr">
        <is>
          <t>每周应收与大客户提醒</t>
        </is>
      </c>
      <c r="G5" s="20" t="inlineStr">
        <is>
          <t>周报+问诊</t>
        </is>
      </c>
      <c r="H5" s="25" t="n">
        <v>399</v>
      </c>
      <c r="I5" s="20" t="inlineStr">
        <is>
          <t>是</t>
        </is>
      </c>
      <c r="J5" s="20" t="inlineStr">
        <is>
          <t>是</t>
        </is>
      </c>
      <c r="K5" s="20" t="inlineStr">
        <is>
          <t>是</t>
        </is>
      </c>
      <c r="L5" s="20" t="inlineStr">
        <is>
          <t>标准版399</t>
        </is>
      </c>
      <c r="M5" s="21" t="n"/>
      <c r="N5" s="20" t="inlineStr">
        <is>
          <t>成立</t>
        </is>
      </c>
      <c r="O5" s="20" t="inlineStr">
        <is>
          <t>成立</t>
        </is>
      </c>
      <c r="P5" s="20" t="inlineStr">
        <is>
          <t>存疑</t>
        </is>
      </c>
      <c r="Q5" s="20" t="inlineStr">
        <is>
          <t>存疑</t>
        </is>
      </c>
      <c r="R5" s="20" t="inlineStr">
        <is>
          <t>示例行：关注第2个月实际人工</t>
        </is>
      </c>
    </row>
    <row r="6">
      <c r="A6" s="21" t="n"/>
      <c r="B6" s="24" t="n"/>
      <c r="C6" s="21" t="n"/>
      <c r="D6" s="21" t="n"/>
      <c r="E6" s="21" t="n"/>
      <c r="F6" s="21" t="n"/>
      <c r="G6" s="21" t="n"/>
      <c r="H6" s="26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</row>
    <row r="7">
      <c r="A7" s="21" t="n"/>
      <c r="B7" s="24" t="n"/>
      <c r="C7" s="21" t="n"/>
      <c r="D7" s="21" t="n"/>
      <c r="E7" s="21" t="n"/>
      <c r="F7" s="21" t="n"/>
      <c r="G7" s="21" t="n"/>
      <c r="H7" s="26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</row>
    <row r="8">
      <c r="A8" s="21" t="n"/>
      <c r="B8" s="24" t="n"/>
      <c r="C8" s="21" t="n"/>
      <c r="D8" s="21" t="n"/>
      <c r="E8" s="21" t="n"/>
      <c r="F8" s="21" t="n"/>
      <c r="G8" s="21" t="n"/>
      <c r="H8" s="26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</row>
    <row r="9">
      <c r="A9" s="21" t="n"/>
      <c r="B9" s="24" t="n"/>
      <c r="C9" s="21" t="n"/>
      <c r="D9" s="21" t="n"/>
      <c r="E9" s="21" t="n"/>
      <c r="F9" s="21" t="n"/>
      <c r="G9" s="21" t="n"/>
      <c r="H9" s="26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</row>
    <row r="10">
      <c r="A10" s="21" t="n"/>
      <c r="B10" s="24" t="n"/>
      <c r="C10" s="21" t="n"/>
      <c r="D10" s="21" t="n"/>
      <c r="E10" s="21" t="n"/>
      <c r="F10" s="21" t="n"/>
      <c r="G10" s="21" t="n"/>
      <c r="H10" s="26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21" t="n"/>
      <c r="B11" s="24" t="n"/>
      <c r="C11" s="21" t="n"/>
      <c r="D11" s="21" t="n"/>
      <c r="E11" s="21" t="n"/>
      <c r="F11" s="21" t="n"/>
      <c r="G11" s="21" t="n"/>
      <c r="H11" s="26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</row>
    <row r="12">
      <c r="A12" s="21" t="n"/>
      <c r="B12" s="24" t="n"/>
      <c r="C12" s="21" t="n"/>
      <c r="D12" s="21" t="n"/>
      <c r="E12" s="21" t="n"/>
      <c r="F12" s="21" t="n"/>
      <c r="G12" s="21" t="n"/>
      <c r="H12" s="26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</row>
    <row r="13">
      <c r="A13" s="21" t="n"/>
      <c r="B13" s="24" t="n"/>
      <c r="C13" s="21" t="n"/>
      <c r="D13" s="21" t="n"/>
      <c r="E13" s="21" t="n"/>
      <c r="F13" s="21" t="n"/>
      <c r="G13" s="21" t="n"/>
      <c r="H13" s="26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</row>
    <row r="14">
      <c r="A14" s="21" t="n"/>
      <c r="B14" s="24" t="n"/>
      <c r="C14" s="21" t="n"/>
      <c r="D14" s="21" t="n"/>
      <c r="E14" s="21" t="n"/>
      <c r="F14" s="21" t="n"/>
      <c r="G14" s="21" t="n"/>
      <c r="H14" s="26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</row>
    <row r="15">
      <c r="A15" s="21" t="n"/>
      <c r="B15" s="24" t="n"/>
      <c r="C15" s="21" t="n"/>
      <c r="D15" s="21" t="n"/>
      <c r="E15" s="21" t="n"/>
      <c r="F15" s="21" t="n"/>
      <c r="G15" s="21" t="n"/>
      <c r="H15" s="26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</row>
    <row r="16">
      <c r="A16" s="21" t="n"/>
      <c r="B16" s="24" t="n"/>
      <c r="C16" s="21" t="n"/>
      <c r="D16" s="21" t="n"/>
      <c r="E16" s="21" t="n"/>
      <c r="F16" s="21" t="n"/>
      <c r="G16" s="21" t="n"/>
      <c r="H16" s="26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</row>
    <row r="17">
      <c r="A17" s="21" t="n"/>
      <c r="B17" s="24" t="n"/>
      <c r="C17" s="21" t="n"/>
      <c r="D17" s="21" t="n"/>
      <c r="E17" s="21" t="n"/>
      <c r="F17" s="21" t="n"/>
      <c r="G17" s="21" t="n"/>
      <c r="H17" s="26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</row>
    <row r="18">
      <c r="A18" s="21" t="n"/>
      <c r="B18" s="24" t="n"/>
      <c r="C18" s="21" t="n"/>
      <c r="D18" s="21" t="n"/>
      <c r="E18" s="21" t="n"/>
      <c r="F18" s="21" t="n"/>
      <c r="G18" s="21" t="n"/>
      <c r="H18" s="26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</row>
    <row r="19">
      <c r="A19" s="21" t="n"/>
      <c r="B19" s="24" t="n"/>
      <c r="C19" s="21" t="n"/>
      <c r="D19" s="21" t="n"/>
      <c r="E19" s="21" t="n"/>
      <c r="F19" s="21" t="n"/>
      <c r="G19" s="21" t="n"/>
      <c r="H19" s="26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</row>
    <row r="20">
      <c r="A20" s="21" t="n"/>
      <c r="B20" s="24" t="n"/>
      <c r="C20" s="21" t="n"/>
      <c r="D20" s="21" t="n"/>
      <c r="E20" s="21" t="n"/>
      <c r="F20" s="21" t="n"/>
      <c r="G20" s="21" t="n"/>
      <c r="H20" s="26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</row>
    <row r="21">
      <c r="A21" s="21" t="n"/>
      <c r="B21" s="24" t="n"/>
      <c r="C21" s="21" t="n"/>
      <c r="D21" s="21" t="n"/>
      <c r="E21" s="21" t="n"/>
      <c r="F21" s="21" t="n"/>
      <c r="G21" s="21" t="n"/>
      <c r="H21" s="26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</row>
    <row r="22">
      <c r="A22" s="21" t="n"/>
      <c r="B22" s="24" t="n"/>
      <c r="C22" s="21" t="n"/>
      <c r="D22" s="21" t="n"/>
      <c r="E22" s="21" t="n"/>
      <c r="F22" s="21" t="n"/>
      <c r="G22" s="21" t="n"/>
      <c r="H22" s="26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</row>
    <row r="23">
      <c r="A23" s="21" t="n"/>
      <c r="B23" s="24" t="n"/>
      <c r="C23" s="21" t="n"/>
      <c r="D23" s="21" t="n"/>
      <c r="E23" s="21" t="n"/>
      <c r="F23" s="21" t="n"/>
      <c r="G23" s="21" t="n"/>
      <c r="H23" s="26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</row>
    <row r="24">
      <c r="A24" s="21" t="n"/>
      <c r="B24" s="24" t="n"/>
      <c r="C24" s="21" t="n"/>
      <c r="D24" s="21" t="n"/>
      <c r="E24" s="21" t="n"/>
      <c r="F24" s="21" t="n"/>
      <c r="G24" s="21" t="n"/>
      <c r="H24" s="26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</row>
    <row r="25">
      <c r="A25" s="21" t="n"/>
      <c r="B25" s="24" t="n"/>
      <c r="C25" s="21" t="n"/>
      <c r="D25" s="21" t="n"/>
      <c r="E25" s="21" t="n"/>
      <c r="F25" s="21" t="n"/>
      <c r="G25" s="21" t="n"/>
      <c r="H25" s="26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</row>
    <row r="26">
      <c r="A26" s="21" t="n"/>
      <c r="B26" s="24" t="n"/>
      <c r="C26" s="21" t="n"/>
      <c r="D26" s="21" t="n"/>
      <c r="E26" s="21" t="n"/>
      <c r="F26" s="21" t="n"/>
      <c r="G26" s="21" t="n"/>
      <c r="H26" s="26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</row>
    <row r="27">
      <c r="A27" s="21" t="n"/>
      <c r="B27" s="24" t="n"/>
      <c r="C27" s="21" t="n"/>
      <c r="D27" s="21" t="n"/>
      <c r="E27" s="21" t="n"/>
      <c r="F27" s="21" t="n"/>
      <c r="G27" s="21" t="n"/>
      <c r="H27" s="26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</row>
    <row r="28">
      <c r="A28" s="21" t="n"/>
      <c r="B28" s="24" t="n"/>
      <c r="C28" s="21" t="n"/>
      <c r="D28" s="21" t="n"/>
      <c r="E28" s="21" t="n"/>
      <c r="F28" s="21" t="n"/>
      <c r="G28" s="21" t="n"/>
      <c r="H28" s="26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</row>
    <row r="29">
      <c r="A29" s="21" t="n"/>
      <c r="B29" s="24" t="n"/>
      <c r="C29" s="21" t="n"/>
      <c r="D29" s="21" t="n"/>
      <c r="E29" s="21" t="n"/>
      <c r="F29" s="21" t="n"/>
      <c r="G29" s="21" t="n"/>
      <c r="H29" s="26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</row>
    <row r="30">
      <c r="A30" s="21" t="n"/>
      <c r="B30" s="24" t="n"/>
      <c r="C30" s="21" t="n"/>
      <c r="D30" s="21" t="n"/>
      <c r="E30" s="21" t="n"/>
      <c r="F30" s="21" t="n"/>
      <c r="G30" s="21" t="n"/>
      <c r="H30" s="26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</row>
    <row r="31">
      <c r="A31" s="21" t="n"/>
      <c r="B31" s="24" t="n"/>
      <c r="C31" s="21" t="n"/>
      <c r="D31" s="21" t="n"/>
      <c r="E31" s="21" t="n"/>
      <c r="F31" s="21" t="n"/>
      <c r="G31" s="21" t="n"/>
      <c r="H31" s="26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</row>
    <row r="32">
      <c r="A32" s="21" t="n"/>
      <c r="B32" s="24" t="n"/>
      <c r="C32" s="21" t="n"/>
      <c r="D32" s="21" t="n"/>
      <c r="E32" s="21" t="n"/>
      <c r="F32" s="21" t="n"/>
      <c r="G32" s="21" t="n"/>
      <c r="H32" s="26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</row>
    <row r="33">
      <c r="A33" s="21" t="n"/>
      <c r="B33" s="24" t="n"/>
      <c r="C33" s="21" t="n"/>
      <c r="D33" s="21" t="n"/>
      <c r="E33" s="21" t="n"/>
      <c r="F33" s="21" t="n"/>
      <c r="G33" s="21" t="n"/>
      <c r="H33" s="26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</row>
    <row r="34">
      <c r="A34" s="21" t="n"/>
      <c r="B34" s="24" t="n"/>
      <c r="C34" s="21" t="n"/>
      <c r="D34" s="21" t="n"/>
      <c r="E34" s="21" t="n"/>
      <c r="F34" s="21" t="n"/>
      <c r="G34" s="21" t="n"/>
      <c r="H34" s="26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</row>
    <row r="35">
      <c r="A35" s="21" t="n"/>
      <c r="B35" s="24" t="n"/>
      <c r="C35" s="21" t="n"/>
      <c r="D35" s="21" t="n"/>
      <c r="E35" s="21" t="n"/>
      <c r="F35" s="21" t="n"/>
      <c r="G35" s="21" t="n"/>
      <c r="H35" s="26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</row>
    <row r="36">
      <c r="A36" s="21" t="n"/>
      <c r="B36" s="24" t="n"/>
      <c r="C36" s="21" t="n"/>
      <c r="D36" s="21" t="n"/>
      <c r="E36" s="21" t="n"/>
      <c r="F36" s="21" t="n"/>
      <c r="G36" s="21" t="n"/>
      <c r="H36" s="26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</row>
    <row r="37">
      <c r="A37" s="21" t="n"/>
      <c r="B37" s="24" t="n"/>
      <c r="C37" s="21" t="n"/>
      <c r="D37" s="21" t="n"/>
      <c r="E37" s="21" t="n"/>
      <c r="F37" s="21" t="n"/>
      <c r="G37" s="21" t="n"/>
      <c r="H37" s="26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</row>
    <row r="38">
      <c r="A38" s="21" t="n"/>
      <c r="B38" s="24" t="n"/>
      <c r="C38" s="21" t="n"/>
      <c r="D38" s="21" t="n"/>
      <c r="E38" s="21" t="n"/>
      <c r="F38" s="21" t="n"/>
      <c r="G38" s="21" t="n"/>
      <c r="H38" s="26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</row>
    <row r="39">
      <c r="A39" s="21" t="n"/>
      <c r="B39" s="24" t="n"/>
      <c r="C39" s="21" t="n"/>
      <c r="D39" s="21" t="n"/>
      <c r="E39" s="21" t="n"/>
      <c r="F39" s="21" t="n"/>
      <c r="G39" s="21" t="n"/>
      <c r="H39" s="26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</row>
    <row r="40">
      <c r="A40" s="21" t="n"/>
      <c r="B40" s="24" t="n"/>
      <c r="C40" s="21" t="n"/>
      <c r="D40" s="21" t="n"/>
      <c r="E40" s="21" t="n"/>
      <c r="F40" s="21" t="n"/>
      <c r="G40" s="21" t="n"/>
      <c r="H40" s="26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</row>
    <row r="41">
      <c r="A41" s="21" t="n"/>
      <c r="B41" s="24" t="n"/>
      <c r="C41" s="21" t="n"/>
      <c r="D41" s="21" t="n"/>
      <c r="E41" s="21" t="n"/>
      <c r="F41" s="21" t="n"/>
      <c r="G41" s="21" t="n"/>
      <c r="H41" s="26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</row>
    <row r="42">
      <c r="A42" s="21" t="n"/>
      <c r="B42" s="24" t="n"/>
      <c r="C42" s="21" t="n"/>
      <c r="D42" s="21" t="n"/>
      <c r="E42" s="21" t="n"/>
      <c r="F42" s="21" t="n"/>
      <c r="G42" s="21" t="n"/>
      <c r="H42" s="26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</row>
    <row r="43">
      <c r="A43" s="21" t="n"/>
      <c r="B43" s="24" t="n"/>
      <c r="C43" s="21" t="n"/>
      <c r="D43" s="21" t="n"/>
      <c r="E43" s="21" t="n"/>
      <c r="F43" s="21" t="n"/>
      <c r="G43" s="21" t="n"/>
      <c r="H43" s="26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</row>
    <row r="44">
      <c r="A44" s="21" t="n"/>
      <c r="B44" s="24" t="n"/>
      <c r="C44" s="21" t="n"/>
      <c r="D44" s="21" t="n"/>
      <c r="E44" s="21" t="n"/>
      <c r="F44" s="21" t="n"/>
      <c r="G44" s="21" t="n"/>
      <c r="H44" s="26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</row>
    <row r="45">
      <c r="A45" s="21" t="n"/>
      <c r="B45" s="24" t="n"/>
      <c r="C45" s="21" t="n"/>
      <c r="D45" s="21" t="n"/>
      <c r="E45" s="21" t="n"/>
      <c r="F45" s="21" t="n"/>
      <c r="G45" s="21" t="n"/>
      <c r="H45" s="26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</row>
    <row r="46">
      <c r="A46" s="21" t="n"/>
      <c r="B46" s="24" t="n"/>
      <c r="C46" s="21" t="n"/>
      <c r="D46" s="21" t="n"/>
      <c r="E46" s="21" t="n"/>
      <c r="F46" s="21" t="n"/>
      <c r="G46" s="21" t="n"/>
      <c r="H46" s="26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</row>
    <row r="47">
      <c r="A47" s="21" t="n"/>
      <c r="B47" s="24" t="n"/>
      <c r="C47" s="21" t="n"/>
      <c r="D47" s="21" t="n"/>
      <c r="E47" s="21" t="n"/>
      <c r="F47" s="21" t="n"/>
      <c r="G47" s="21" t="n"/>
      <c r="H47" s="26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</row>
    <row r="48">
      <c r="A48" s="21" t="n"/>
      <c r="B48" s="24" t="n"/>
      <c r="C48" s="21" t="n"/>
      <c r="D48" s="21" t="n"/>
      <c r="E48" s="21" t="n"/>
      <c r="F48" s="21" t="n"/>
      <c r="G48" s="21" t="n"/>
      <c r="H48" s="26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</row>
    <row r="49">
      <c r="A49" s="21" t="n"/>
      <c r="B49" s="24" t="n"/>
      <c r="C49" s="21" t="n"/>
      <c r="D49" s="21" t="n"/>
      <c r="E49" s="21" t="n"/>
      <c r="F49" s="21" t="n"/>
      <c r="G49" s="21" t="n"/>
      <c r="H49" s="26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</row>
    <row r="50">
      <c r="A50" s="21" t="n"/>
      <c r="B50" s="24" t="n"/>
      <c r="C50" s="21" t="n"/>
      <c r="D50" s="21" t="n"/>
      <c r="E50" s="21" t="n"/>
      <c r="F50" s="21" t="n"/>
      <c r="G50" s="21" t="n"/>
      <c r="H50" s="26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</row>
    <row r="51">
      <c r="A51" s="21" t="n"/>
      <c r="B51" s="24" t="n"/>
      <c r="C51" s="21" t="n"/>
      <c r="D51" s="21" t="n"/>
      <c r="E51" s="21" t="n"/>
      <c r="F51" s="21" t="n"/>
      <c r="G51" s="21" t="n"/>
      <c r="H51" s="26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</row>
    <row r="52">
      <c r="A52" s="21" t="n"/>
      <c r="B52" s="24" t="n"/>
      <c r="C52" s="21" t="n"/>
      <c r="D52" s="21" t="n"/>
      <c r="E52" s="21" t="n"/>
      <c r="F52" s="21" t="n"/>
      <c r="G52" s="21" t="n"/>
      <c r="H52" s="26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</row>
    <row r="53">
      <c r="A53" s="21" t="n"/>
      <c r="B53" s="24" t="n"/>
      <c r="C53" s="21" t="n"/>
      <c r="D53" s="21" t="n"/>
      <c r="E53" s="21" t="n"/>
      <c r="F53" s="21" t="n"/>
      <c r="G53" s="21" t="n"/>
      <c r="H53" s="26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</row>
    <row r="54">
      <c r="A54" s="21" t="n"/>
      <c r="B54" s="24" t="n"/>
      <c r="C54" s="21" t="n"/>
      <c r="D54" s="21" t="n"/>
      <c r="E54" s="21" t="n"/>
      <c r="F54" s="21" t="n"/>
      <c r="G54" s="21" t="n"/>
      <c r="H54" s="26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</row>
  </sheetData>
  <dataValidations count="3">
    <dataValidation sqref="I5:K54" showDropDown="0" showInputMessage="0" showErrorMessage="1" allowBlank="1" error="请从下拉列表中选择" type="list">
      <formula1>参数!$M$5:$M$6</formula1>
    </dataValidation>
    <dataValidation sqref="L5:L54" showDropDown="0" showInputMessage="0" showErrorMessage="1" allowBlank="1" error="请从下拉列表中选择" type="list">
      <formula1>参数!$J$5:$J$14</formula1>
    </dataValidation>
    <dataValidation sqref="N5:Q54" showDropDown="0" showInputMessage="0" showErrorMessage="1" allowBlank="1" error="请从下拉列表中选择" type="list">
      <formula1>参数!$O$5:$O$7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6" customWidth="1" min="3" max="3"/>
    <col width="16" customWidth="1" min="5" max="5"/>
    <col width="12" customWidth="1" min="6" max="6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7" max="17"/>
  </cols>
  <sheetData>
    <row r="1">
      <c r="A1" s="1" t="inlineStr">
        <is>
          <t>参数与下拉列表</t>
        </is>
      </c>
    </row>
    <row r="2">
      <c r="A2" s="2" t="inlineStr">
        <is>
          <t>黄色单元格可按实际情况修改；修改后各表下拉与汇总自动更新。</t>
        </is>
      </c>
    </row>
    <row r="4" ht="32" customHeight="1">
      <c r="A4" s="8" t="inlineStr">
        <is>
          <t>工作类型</t>
        </is>
      </c>
      <c r="B4" s="8" t="inlineStr">
        <is>
          <t>工时性质</t>
        </is>
      </c>
      <c r="C4" s="8" t="inlineStr">
        <is>
          <t>时间预算类别</t>
        </is>
      </c>
      <c r="E4" s="8" t="inlineStr">
        <is>
          <t>时间预算类别</t>
        </is>
      </c>
      <c r="F4" s="8" t="inlineStr">
        <is>
          <t>月度预留小时</t>
        </is>
      </c>
      <c r="H4" s="29" t="inlineStr">
        <is>
          <t>线别</t>
        </is>
      </c>
      <c r="I4" s="29" t="inlineStr">
        <is>
          <t>客户状态</t>
        </is>
      </c>
      <c r="J4" s="29" t="inlineStr">
        <is>
          <t>产品/套餐</t>
        </is>
      </c>
      <c r="K4" s="29" t="inlineStr">
        <is>
          <t>互动事件</t>
        </is>
      </c>
      <c r="L4" s="29" t="inlineStr">
        <is>
          <t>支出类别</t>
        </is>
      </c>
      <c r="M4" s="29" t="inlineStr">
        <is>
          <t>是/否</t>
        </is>
      </c>
      <c r="N4" s="29" t="inlineStr">
        <is>
          <t>慎重项</t>
        </is>
      </c>
      <c r="O4" s="29" t="inlineStr">
        <is>
          <t>复盘判断</t>
        </is>
      </c>
      <c r="Q4" s="29" t="inlineStr">
        <is>
          <t>支出性质</t>
        </is>
      </c>
    </row>
    <row r="5">
      <c r="A5" s="21" t="inlineStr">
        <is>
          <t>获客沟通</t>
        </is>
      </c>
      <c r="B5" s="21" t="inlineStr">
        <is>
          <t>一次性</t>
        </is>
      </c>
      <c r="C5" s="21" t="inlineStr">
        <is>
          <t>客户开发与销售</t>
        </is>
      </c>
      <c r="E5" s="21" t="inlineStr">
        <is>
          <t>客户服务</t>
        </is>
      </c>
      <c r="F5" s="21" t="n">
        <v>65</v>
      </c>
      <c r="H5" s="21" t="inlineStr">
        <is>
          <t>会员线</t>
        </is>
      </c>
      <c r="I5" s="21" t="inlineStr">
        <is>
          <t>线索</t>
        </is>
      </c>
      <c r="J5" s="21" t="inlineStr">
        <is>
          <t>99元体验</t>
        </is>
      </c>
      <c r="K5" s="21" t="inlineStr">
        <is>
          <t>老板主动提问/提需求</t>
        </is>
      </c>
      <c r="L5" s="21" t="inlineStr">
        <is>
          <t>AI与模型订阅</t>
        </is>
      </c>
      <c r="M5" s="21" t="inlineStr">
        <is>
          <t>是</t>
        </is>
      </c>
      <c r="N5" s="21" t="inlineStr">
        <is>
          <t>无</t>
        </is>
      </c>
      <c r="O5" s="21" t="inlineStr">
        <is>
          <t>成立</t>
        </is>
      </c>
      <c r="Q5" s="21" t="inlineStr">
        <is>
          <t>固定</t>
        </is>
      </c>
    </row>
    <row r="6">
      <c r="A6" s="21" t="inlineStr">
        <is>
          <t>专项售前（初筛/报价）</t>
        </is>
      </c>
      <c r="B6" s="21" t="inlineStr">
        <is>
          <t>一次性</t>
        </is>
      </c>
      <c r="C6" s="21" t="inlineStr">
        <is>
          <t>客户开发与销售</t>
        </is>
      </c>
      <c r="E6" s="21" t="inlineStr">
        <is>
          <t>客户开发与销售</t>
        </is>
      </c>
      <c r="F6" s="21" t="n">
        <v>20</v>
      </c>
      <c r="H6" s="21" t="inlineStr">
        <is>
          <t>专项线</t>
        </is>
      </c>
      <c r="I6" s="21" t="inlineStr">
        <is>
          <t>有效沟通</t>
        </is>
      </c>
      <c r="J6" s="21" t="inlineStr">
        <is>
          <t>基础版199</t>
        </is>
      </c>
      <c r="K6" s="21" t="inlineStr">
        <is>
          <t>老板发送数据</t>
        </is>
      </c>
      <c r="L6" s="21" t="inlineStr">
        <is>
          <t>工具软件</t>
        </is>
      </c>
      <c r="M6" s="21" t="inlineStr">
        <is>
          <t>否</t>
        </is>
      </c>
      <c r="N6" s="21" t="inlineStr">
        <is>
          <t>需求过重</t>
        </is>
      </c>
      <c r="O6" s="21" t="inlineStr">
        <is>
          <t>存疑</t>
        </is>
      </c>
      <c r="Q6" s="21" t="inlineStr">
        <is>
          <t>增量</t>
        </is>
      </c>
    </row>
    <row r="7">
      <c r="A7" s="21" t="inlineStr">
        <is>
          <t>首次访谈</t>
        </is>
      </c>
      <c r="B7" s="21" t="inlineStr">
        <is>
          <t>一次性</t>
        </is>
      </c>
      <c r="C7" s="21" t="inlineStr">
        <is>
          <t>客户服务</t>
        </is>
      </c>
      <c r="E7" s="21" t="inlineStr">
        <is>
          <t>产品及AI工作流</t>
        </is>
      </c>
      <c r="F7" s="21" t="n">
        <v>20</v>
      </c>
      <c r="H7" s="21" t="inlineStr">
        <is>
          <t>共享/内部</t>
        </is>
      </c>
      <c r="I7" s="21" t="inlineStr">
        <is>
          <t>深入介绍/初筛</t>
        </is>
      </c>
      <c r="J7" s="21" t="inlineStr">
        <is>
          <t>标准版399</t>
        </is>
      </c>
      <c r="K7" s="21" t="inlineStr">
        <is>
          <t>周报已发送（未修改）</t>
        </is>
      </c>
      <c r="L7" s="21" t="inlineStr">
        <is>
          <t>存储备份</t>
        </is>
      </c>
      <c r="N7" s="21" t="inlineStr">
        <is>
          <t>配合不足</t>
        </is>
      </c>
      <c r="O7" s="21" t="inlineStr">
        <is>
          <t>不成立</t>
        </is>
      </c>
    </row>
    <row r="8">
      <c r="A8" s="21" t="inlineStr">
        <is>
          <t>建档与资料整理</t>
        </is>
      </c>
      <c r="B8" s="21" t="inlineStr">
        <is>
          <t>一次性</t>
        </is>
      </c>
      <c r="C8" s="21" t="inlineStr">
        <is>
          <t>客户服务</t>
        </is>
      </c>
      <c r="E8" s="21" t="inlineStr">
        <is>
          <t>一般运营管理</t>
        </is>
      </c>
      <c r="F8" s="21" t="n">
        <v>15</v>
      </c>
      <c r="I8" s="21" t="inlineStr">
        <is>
          <t>体验中（已付99元）</t>
        </is>
      </c>
      <c r="J8" s="21" t="inlineStr">
        <is>
          <t>顾问版1299+</t>
        </is>
      </c>
      <c r="K8" s="21" t="inlineStr">
        <is>
          <t>周报经修改后发送</t>
        </is>
      </c>
      <c r="L8" s="21" t="inlineStr">
        <is>
          <t>通信</t>
        </is>
      </c>
      <c r="N8" s="21" t="inlineStr">
        <is>
          <t>高度依赖资质</t>
        </is>
      </c>
    </row>
    <row r="9">
      <c r="A9" s="21" t="inlineStr">
        <is>
          <t>首次体检分析与审核</t>
        </is>
      </c>
      <c r="B9" s="21" t="inlineStr">
        <is>
          <t>一次性</t>
        </is>
      </c>
      <c r="C9" s="21" t="inlineStr">
        <is>
          <t>客户服务</t>
        </is>
      </c>
      <c r="E9" s="21" t="inlineStr">
        <is>
          <t>协会公益共建</t>
        </is>
      </c>
      <c r="F9" s="21" t="n">
        <v>12</v>
      </c>
      <c r="I9" s="21" t="inlineStr">
        <is>
          <t>体验结束待转正</t>
        </is>
      </c>
      <c r="J9" s="21" t="inlineStr">
        <is>
          <t>会员专项简析</t>
        </is>
      </c>
      <c r="K9" s="21" t="inlineStr">
        <is>
          <t>周报退回重做</t>
        </is>
      </c>
      <c r="L9" s="21" t="inlineStr">
        <is>
          <t>交通</t>
        </is>
      </c>
      <c r="N9" s="21" t="inlineStr">
        <is>
          <t>无法保证服务质量</t>
        </is>
      </c>
    </row>
    <row r="10">
      <c r="A10" s="21" t="inlineStr">
        <is>
          <t>报告解读</t>
        </is>
      </c>
      <c r="B10" s="21" t="inlineStr">
        <is>
          <t>一次性</t>
        </is>
      </c>
      <c r="C10" s="21" t="inlineStr">
        <is>
          <t>客户服务</t>
        </is>
      </c>
      <c r="E10" s="14" t="inlineStr">
        <is>
          <t>合计</t>
        </is>
      </c>
      <c r="F10" s="14">
        <f>SUM(F5:F9)</f>
        <v/>
      </c>
      <c r="I10" s="21" t="inlineStr">
        <is>
          <t>正式会员</t>
        </is>
      </c>
      <c r="J10" s="21" t="inlineStr">
        <is>
          <t>P01专项诊断</t>
        </is>
      </c>
      <c r="K10" s="21" t="inlineStr">
        <is>
          <t>老板阅读反馈</t>
        </is>
      </c>
      <c r="L10" s="21" t="inlineStr">
        <is>
          <t>推广与销售材料</t>
        </is>
      </c>
    </row>
    <row r="11">
      <c r="A11" s="21" t="inlineStr">
        <is>
          <t>周报/简报审核</t>
        </is>
      </c>
      <c r="B11" s="21" t="inlineStr">
        <is>
          <t>维护</t>
        </is>
      </c>
      <c r="C11" s="21" t="inlineStr">
        <is>
          <t>客户服务</t>
        </is>
      </c>
      <c r="E11" s="2" t="inlineStr">
        <is>
          <t>来源：C02 V1.1 第十二章（6小时/天×22天=132小时/月）。</t>
        </is>
      </c>
      <c r="I11" s="21" t="inlineStr">
        <is>
          <t>已报价（专项）</t>
        </is>
      </c>
      <c r="J11" s="21" t="inlineStr">
        <is>
          <t>P02改善行动</t>
        </is>
      </c>
      <c r="K11" s="21" t="inlineStr">
        <is>
          <t>建议被采用</t>
        </is>
      </c>
      <c r="L11" s="21" t="inlineStr">
        <is>
          <t>记账财税</t>
        </is>
      </c>
    </row>
    <row r="12">
      <c r="A12" s="21" t="inlineStr">
        <is>
          <t>风险与机会提醒</t>
        </is>
      </c>
      <c r="B12" s="21" t="inlineStr">
        <is>
          <t>维护</t>
        </is>
      </c>
      <c r="C12" s="21" t="inlineStr">
        <is>
          <t>客户服务</t>
        </is>
      </c>
      <c r="I12" s="21" t="inlineStr">
        <is>
          <t>已签约（专项）</t>
        </is>
      </c>
      <c r="J12" s="21" t="inlineStr">
        <is>
          <t>P03扩张决策</t>
        </is>
      </c>
      <c r="K12" s="21" t="inlineStr">
        <is>
          <t>增值/专项线索</t>
        </is>
      </c>
      <c r="L12" s="21" t="inlineStr">
        <is>
          <t>专业外包</t>
        </is>
      </c>
    </row>
    <row r="13">
      <c r="A13" s="21" t="inlineStr">
        <is>
          <t>经营问诊</t>
        </is>
      </c>
      <c r="B13" s="21" t="inlineStr">
        <is>
          <t>维护</t>
        </is>
      </c>
      <c r="C13" s="21" t="inlineStr">
        <is>
          <t>客户服务</t>
        </is>
      </c>
      <c r="E13" s="5" t="inlineStr">
        <is>
          <t>客户筛选阈值（满分10）</t>
        </is>
      </c>
      <c r="I13" s="21" t="inlineStr">
        <is>
          <t>交付中（专项）</t>
        </is>
      </c>
      <c r="J13" s="21" t="inlineStr">
        <is>
          <t>P04 AI数字化</t>
        </is>
      </c>
      <c r="K13" s="21" t="inlineStr">
        <is>
          <t>转介绍</t>
        </is>
      </c>
      <c r="L13" s="21" t="inlineStr">
        <is>
          <t>设备</t>
        </is>
      </c>
    </row>
    <row r="14">
      <c r="A14" s="21" t="inlineStr">
        <is>
          <t>材料支持</t>
        </is>
      </c>
      <c r="B14" s="21" t="inlineStr">
        <is>
          <t>维护</t>
        </is>
      </c>
      <c r="C14" s="21" t="inlineStr">
        <is>
          <t>客户服务</t>
        </is>
      </c>
      <c r="E14" s="9" t="inlineStr">
        <is>
          <t>强烈建议 ≥</t>
        </is>
      </c>
      <c r="F14" s="21" t="n">
        <v>8</v>
      </c>
      <c r="I14" s="21" t="inlineStr">
        <is>
          <t>已验收（专项）</t>
        </is>
      </c>
      <c r="J14" s="21" t="inlineStr">
        <is>
          <t>P05顾问陪跑</t>
        </is>
      </c>
      <c r="K14" s="21" t="inlineStr">
        <is>
          <t>发错对象</t>
        </is>
      </c>
      <c r="L14" s="21" t="inlineStr">
        <is>
          <t>其他</t>
        </is>
      </c>
    </row>
    <row r="15">
      <c r="A15" s="21" t="inlineStr">
        <is>
          <t>数据更新与处理</t>
        </is>
      </c>
      <c r="B15" s="21" t="inlineStr">
        <is>
          <t>维护</t>
        </is>
      </c>
      <c r="C15" s="21" t="inlineStr">
        <is>
          <t>客户服务</t>
        </is>
      </c>
      <c r="E15" s="9" t="inlineStr">
        <is>
          <t>可以试点 ≥</t>
        </is>
      </c>
      <c r="F15" s="21" t="n">
        <v>6</v>
      </c>
      <c r="I15" s="21" t="inlineStr">
        <is>
          <t>未转正/未成交</t>
        </is>
      </c>
      <c r="K15" s="21" t="inlineStr">
        <is>
          <t>数字错误</t>
        </is>
      </c>
    </row>
    <row r="16">
      <c r="A16" s="21" t="inlineStr">
        <is>
          <t>资源对接</t>
        </is>
      </c>
      <c r="B16" s="21" t="inlineStr">
        <is>
          <t>维护</t>
        </is>
      </c>
      <c r="C16" s="21" t="inlineStr">
        <is>
          <t>客户服务</t>
        </is>
      </c>
      <c r="E16" s="2" t="inlineStr">
        <is>
          <t>内部建议值，非验证结论；按首批实际情况调整。</t>
        </is>
      </c>
      <c r="I16" s="21" t="inlineStr">
        <is>
          <t>流失</t>
        </is>
      </c>
    </row>
    <row r="17">
      <c r="A17" s="21" t="inlineStr">
        <is>
          <t>会议与面谈（含交通）</t>
        </is>
      </c>
      <c r="B17" s="21" t="inlineStr">
        <is>
          <t>维护</t>
        </is>
      </c>
      <c r="C17" s="21" t="inlineStr">
        <is>
          <t>客户服务</t>
        </is>
      </c>
    </row>
    <row r="18">
      <c r="A18" s="21" t="inlineStr">
        <is>
          <t>月末复盘与续费沟通</t>
        </is>
      </c>
      <c r="B18" s="21" t="inlineStr">
        <is>
          <t>维护</t>
        </is>
      </c>
      <c r="C18" s="21" t="inlineStr">
        <is>
          <t>客户服务</t>
        </is>
      </c>
    </row>
    <row r="19">
      <c r="A19" s="21" t="inlineStr">
        <is>
          <t>返工与修改</t>
        </is>
      </c>
      <c r="B19" s="21" t="inlineStr">
        <is>
          <t>维护</t>
        </is>
      </c>
      <c r="C19" s="21" t="inlineStr">
        <is>
          <t>客户服务</t>
        </is>
      </c>
    </row>
    <row r="20">
      <c r="A20" s="21" t="inlineStr">
        <is>
          <t>专项交付</t>
        </is>
      </c>
      <c r="B20" s="21" t="inlineStr">
        <is>
          <t>专项</t>
        </is>
      </c>
      <c r="C20" s="21" t="inlineStr">
        <is>
          <t>客户服务</t>
        </is>
      </c>
    </row>
    <row r="21">
      <c r="A21" s="21" t="inlineStr">
        <is>
          <t>共享信息整理与批量任务</t>
        </is>
      </c>
      <c r="B21" s="21" t="inlineStr">
        <is>
          <t>共享</t>
        </is>
      </c>
      <c r="C21" s="21" t="inlineStr">
        <is>
          <t>客户服务</t>
        </is>
      </c>
    </row>
    <row r="22">
      <c r="A22" s="21" t="inlineStr">
        <is>
          <t>产品与AI工作流开发</t>
        </is>
      </c>
      <c r="B22" s="21" t="inlineStr">
        <is>
          <t>非服务</t>
        </is>
      </c>
      <c r="C22" s="21" t="inlineStr">
        <is>
          <t>产品及AI工作流</t>
        </is>
      </c>
    </row>
    <row r="23">
      <c r="A23" s="21" t="inlineStr">
        <is>
          <t>一般运营管理</t>
        </is>
      </c>
      <c r="B23" s="21" t="inlineStr">
        <is>
          <t>非服务</t>
        </is>
      </c>
      <c r="C23" s="21" t="inlineStr">
        <is>
          <t>一般运营管理</t>
        </is>
      </c>
    </row>
    <row r="24">
      <c r="A24" s="21" t="inlineStr">
        <is>
          <t>协会公益共建</t>
        </is>
      </c>
      <c r="B24" s="21" t="inlineStr">
        <is>
          <t>非服务</t>
        </is>
      </c>
      <c r="C24" s="21" t="inlineStr">
        <is>
          <t>协会公益共建</t>
        </is>
      </c>
    </row>
    <row r="26">
      <c r="A26" s="2" t="inlineStr">
        <is>
          <t>工时性质：一次性=建档与首次服务；维护=稳定期周期服务；专项=高级专项交付；共享=多客户共用的批量工作；非服务=不计入客户服务预算。依据 F01 第十章、D01 7.1。</t>
        </is>
      </c>
    </row>
    <row r="29">
      <c r="A29" s="5" t="inlineStr">
        <is>
          <t>KPI 目标值</t>
        </is>
      </c>
    </row>
    <row r="30" ht="32" customHeight="1">
      <c r="A30" s="8" t="inlineStr">
        <is>
          <t>指标</t>
        </is>
      </c>
      <c r="B30" s="8" t="inlineStr">
        <is>
          <t>目标</t>
        </is>
      </c>
      <c r="C30" s="8" t="inlineStr">
        <is>
          <t>来源</t>
        </is>
      </c>
    </row>
    <row r="31">
      <c r="A31" s="9" t="inlineStr">
        <is>
          <t>体验企业数（家）</t>
        </is>
      </c>
      <c r="B31" s="21" t="n">
        <v>5</v>
      </c>
      <c r="C31" s="9" t="inlineStr">
        <is>
          <t>D01/F01：5–10家</t>
        </is>
      </c>
    </row>
    <row r="32">
      <c r="A32" s="9" t="inlineStr">
        <is>
          <t>正式转正企业数（家）</t>
        </is>
      </c>
      <c r="B32" s="21" t="n">
        <v>3</v>
      </c>
      <c r="C32" s="9" t="inlineStr">
        <is>
          <t>F01：至少3家；MVP：≥2家</t>
        </is>
      </c>
    </row>
    <row r="33">
      <c r="A33" s="9" t="inlineStr">
        <is>
          <t>数据按时发送率</t>
        </is>
      </c>
      <c r="B33" s="30" t="n">
        <v>0.6</v>
      </c>
      <c r="C33" s="9" t="inlineStr">
        <is>
          <t>MVP：≥60%</t>
        </is>
      </c>
    </row>
    <row r="34">
      <c r="A34" s="9" t="inlineStr">
        <is>
          <t>周报修改率（上限）</t>
        </is>
      </c>
      <c r="B34" s="30" t="n">
        <v>0.3</v>
      </c>
      <c r="C34" s="9" t="inlineStr">
        <is>
          <t>MVP：第4周≤30%</t>
        </is>
      </c>
    </row>
    <row r="35">
      <c r="A35" s="9" t="inlineStr">
        <is>
          <t>每企业每周维护人工（分钟，上限）</t>
        </is>
      </c>
      <c r="B35" s="21" t="n">
        <v>15</v>
      </c>
      <c r="C35" s="9" t="inlineStr">
        <is>
          <t>MVP：≤15分钟</t>
        </is>
      </c>
    </row>
    <row r="36">
      <c r="A36" s="9" t="inlineStr">
        <is>
          <t>发错对象（次，上限）</t>
        </is>
      </c>
      <c r="B36" s="21" t="n">
        <v>0</v>
      </c>
      <c r="C36" s="9" t="inlineStr">
        <is>
          <t>MVP：0</t>
        </is>
      </c>
    </row>
    <row r="37">
      <c r="A37" s="9" t="inlineStr">
        <is>
          <t>主动提问企业数（家）</t>
        </is>
      </c>
      <c r="B37" s="21" t="n">
        <v>3</v>
      </c>
      <c r="C37" s="9" t="inlineStr">
        <is>
          <t>MVP：≥3家</t>
        </is>
      </c>
    </row>
    <row r="38">
      <c r="A38" s="9" t="inlineStr">
        <is>
          <t>专项正式报价数</t>
        </is>
      </c>
      <c r="B38" s="21" t="n">
        <v>3</v>
      </c>
      <c r="C38" s="9" t="inlineStr">
        <is>
          <t>B08：至少3份</t>
        </is>
      </c>
    </row>
    <row r="39">
      <c r="A39" s="9" t="inlineStr">
        <is>
          <t>专项成交数</t>
        </is>
      </c>
      <c r="B39" s="21" t="n">
        <v>1</v>
      </c>
      <c r="C39" s="9" t="inlineStr">
        <is>
          <t>B08：争取1–2单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2026-10-12T08:15:40Z</dcterms:created>
  <dcterms:modified xmlns:dcterms="http://purl.org/dc/terms/" xmlns:xsi="http://www.w3.org/2001/XMLSchema-instance" xsi:type="dcterms:W3CDTF">2026-10-12T08:15:42Z</dcterms:modified>
</cp:coreProperties>
</file>